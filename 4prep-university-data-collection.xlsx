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eps for one school" sheetId="2" state="visible" r:id="rId2"/>
    <sheet xmlns:r="http://schemas.openxmlformats.org/officeDocument/2006/relationships" name="Universities" sheetId="3" state="visible" r:id="rId3"/>
    <sheet xmlns:r="http://schemas.openxmlformats.org/officeDocument/2006/relationships" name="Scholarships" sheetId="4" state="visible" r:id="rId4"/>
    <sheet xmlns:r="http://schemas.openxmlformats.org/officeDocument/2006/relationships" name="Field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 indent="1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0" applyAlignment="1" pivotButton="0" quotePrefix="0" xfId="0">
      <alignment vertical="top" wrapText="1" indent="2"/>
    </xf>
    <xf numFmtId="0" fontId="2" fillId="2" borderId="0" pivotButton="0" quotePrefix="0" xfId="0"/>
    <xf numFmtId="0" fontId="2" fillId="3" borderId="0" pivotButton="0" quotePrefix="0" xfId="0"/>
    <xf numFmtId="0" fontId="4" fillId="6" borderId="0" applyAlignment="1" pivotButton="0" quotePrefix="0" xfId="0">
      <alignment vertical="bottom" wrapText="1"/>
    </xf>
    <xf numFmtId="0" fontId="4" fillId="7" borderId="0" applyAlignment="1" pivotButton="0" quotePrefix="0" xfId="0">
      <alignment vertical="bottom" wrapText="1"/>
    </xf>
    <xf numFmtId="0" fontId="0" fillId="5" borderId="0" pivotButton="0" quotePrefix="0" xfId="0"/>
    <xf numFmtId="0" fontId="0" fillId="4" borderId="0" pivotButton="0" quotePrefix="0" xfId="0"/>
    <xf numFmtId="9" fontId="0" fillId="4" borderId="0" pivotButton="0" quotePrefix="0" xfId="0"/>
    <xf numFmtId="0" fontId="2" fillId="0" borderId="0" pivotButton="0" quotePrefix="0" xfId="0"/>
    <xf numFmtId="0" fontId="4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24" customHeight="1">
      <c r="A1" s="1" t="inlineStr">
        <is>
          <t>How to use this file</t>
        </is>
      </c>
    </row>
    <row r="2" ht="30" customHeight="1">
      <c r="A2" s="2" t="inlineStr">
        <is>
          <t>You collect facts about US universities. Every column here goes into one exact place in our database, so please do not add or change columns.</t>
        </is>
      </c>
    </row>
    <row r="3" ht="15" customHeight="1">
      <c r="A3" s="2" t="inlineStr">
        <is>
          <t>Read the “Steps for one school” tab first. It shows the order of work.</t>
        </is>
      </c>
    </row>
    <row r="4"/>
    <row r="5" ht="20" customHeight="1">
      <c r="A5" s="3" t="inlineStr">
        <is>
          <t>The 5 rules</t>
        </is>
      </c>
    </row>
    <row r="6" ht="30" customHeight="1">
      <c r="A6" s="4" t="inlineStr">
        <is>
          <t>1.   Never guess. If you are not sure, leave the cell empty, write the question in collector_notes, and message Jeff.</t>
        </is>
      </c>
    </row>
    <row r="7" ht="30" customHeight="1">
      <c r="A7" s="4" t="inlineStr">
        <is>
          <t>2.   Every answer needs a link. Each group of columns ends with a _source_url and a _retrieved_on. Fill those first, then the answers in that group.</t>
        </is>
      </c>
    </row>
    <row r="8" ht="15" customHeight="1">
      <c r="A8" s="4" t="inlineStr">
        <is>
          <t>3.   If the source does not give the answer, type:  not_reported</t>
        </is>
      </c>
    </row>
    <row r="9" ht="30" customHeight="1">
      <c r="A9" s="4" t="inlineStr">
        <is>
          <t>4.   Empty and not_reported mean different things. Empty = I did not look yet. not_reported = I looked, and the source does not say it.</t>
        </is>
      </c>
    </row>
    <row r="10" ht="30" customHeight="1">
      <c r="A10" s="4" t="inlineStr">
        <is>
          <t>5.   Copy numbers and wording exactly as the university writes them. Do not round, do not convert, do not improve the wording.</t>
        </is>
      </c>
    </row>
    <row r="11"/>
    <row r="12" ht="20" customHeight="1">
      <c r="A12" s="3" t="inlineStr">
        <is>
          <t>How to write the answers</t>
        </is>
      </c>
    </row>
    <row r="13" ht="15" customHeight="1">
      <c r="A13" s="4" t="inlineStr">
        <is>
          <t>•   Dates:  2027-01-15   (year - month - day)</t>
        </is>
      </c>
    </row>
    <row r="14" ht="15" customHeight="1">
      <c r="A14" s="4" t="inlineStr">
        <is>
          <t>•   Money:  59000   (no dollar sign, no comma, no cents)</t>
        </is>
      </c>
    </row>
    <row r="15" ht="15" customHeight="1">
      <c r="A15" s="4" t="inlineStr">
        <is>
          <t>•   Percent:  12.4   (just the number, no % sign)</t>
        </is>
      </c>
    </row>
    <row r="16" ht="15" customHeight="1">
      <c r="A16" s="4" t="inlineStr">
        <is>
          <t>•   Lists inside one cell:  Fall; Spring   (separate with a semicolon)</t>
        </is>
      </c>
    </row>
    <row r="17" ht="15" customHeight="1">
      <c r="A17" s="4" t="inlineStr">
        <is>
          <t>•   Yes / no columns:  click the cell and choose from the list.</t>
        </is>
      </c>
    </row>
    <row r="18" ht="15" customHeight="1">
      <c r="A18" s="4" t="inlineStr">
        <is>
          <t>•   Links:  the full link, starting with https://</t>
        </is>
      </c>
    </row>
    <row r="19" ht="15" customHeight="1">
      <c r="A19" s="4" t="inlineStr">
        <is>
          <t>•   Green columns:  never type in them. They check your work by themselves.</t>
        </is>
      </c>
    </row>
    <row r="20"/>
    <row r="21" ht="20" customHeight="1">
      <c r="A21" s="3" t="inlineStr">
        <is>
          <t>Two tabs to fill</t>
        </is>
      </c>
    </row>
    <row r="22" ht="15" customHeight="1">
      <c r="A22" s="4" t="inlineStr">
        <is>
          <t>•   Universities: one row per university.</t>
        </is>
      </c>
    </row>
    <row r="23" ht="30" customHeight="1">
      <c r="A23" s="4" t="inlineStr">
        <is>
          <t>•   Scholarships: one row per scholarship. A university with three scholarships gets three rows here, all with the same unitid.</t>
        </is>
      </c>
    </row>
    <row r="24"/>
    <row r="25" ht="20" customHeight="1">
      <c r="A25" s="3" t="inlineStr">
        <is>
          <t>Where to look</t>
        </is>
      </c>
    </row>
    <row r="26" ht="30" customHeight="1">
      <c r="A26" s="4" t="inlineStr">
        <is>
          <t>•   The official university website. This is the main source. Most of what we are missing is on the international admissions and financial aid pages.</t>
        </is>
      </c>
    </row>
    <row r="27" ht="30" customHeight="1">
      <c r="A27" s="4" t="inlineStr">
        <is>
          <t>•   The Common Data Set (CDS). A PDF the university publishes every year. Good for costs and test policy. Google:  the university name + common data set</t>
        </is>
      </c>
    </row>
    <row r="28"/>
    <row r="29" ht="20" customHeight="1">
      <c r="A29" s="3" t="inlineStr">
        <is>
          <t>Colour key</t>
        </is>
      </c>
    </row>
    <row r="30">
      <c r="A30" s="5" t="inlineStr">
        <is>
          <t>Yellow: you fill this in.</t>
        </is>
      </c>
    </row>
    <row r="31">
      <c r="A31" s="6" t="inlineStr">
        <is>
          <t>Light orange: the link and the date for the group next to it.</t>
        </is>
      </c>
    </row>
    <row r="32">
      <c r="A32" s="7" t="inlineStr">
        <is>
          <t>Green: fills itself. Do not type here.</t>
        </is>
      </c>
    </row>
    <row r="33">
      <c r="A33" s="8" t="inlineStr">
        <is>
          <t>Grey: the example row. Do not change it and do not delete it.</t>
        </is>
      </c>
    </row>
    <row r="34"/>
    <row r="35" ht="20" customHeight="1">
      <c r="A35" s="3" t="inlineStr">
        <is>
          <t>A row is finished when</t>
        </is>
      </c>
    </row>
    <row r="36" ht="15" customHeight="1">
      <c r="A36" s="4" t="inlineStr">
        <is>
          <t>•   status says done</t>
        </is>
      </c>
    </row>
    <row r="37" ht="15" customHeight="1">
      <c r="A37" s="4" t="inlineStr">
        <is>
          <t>•   every yellow cell has an answer or not_reported</t>
        </is>
      </c>
    </row>
    <row r="38" ht="15" customHeight="1">
      <c r="A38" s="4" t="inlineStr">
        <is>
          <t>•   every _source_url and _retrieved_on is filled</t>
        </is>
      </c>
    </row>
    <row r="39" ht="15" customHeight="1">
      <c r="A39" s="4" t="inlineStr">
        <is>
          <t>•   the green check columns do not show a problem</t>
        </is>
      </c>
    </row>
    <row r="40" ht="15" customHeight="1">
      <c r="A40" s="4" t="inlineStr">
        <is>
          <t>•   pct_complete shows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24" customHeight="1">
      <c r="A1" s="1" t="inlineStr">
        <is>
          <t>Steps for one school</t>
        </is>
      </c>
    </row>
    <row r="2" ht="15" customHeight="1">
      <c r="A2" s="2" t="inlineStr">
        <is>
          <t>Do these in order. One pass through the list = one finished row.</t>
        </is>
      </c>
    </row>
    <row r="3"/>
    <row r="4" ht="15" customHeight="1">
      <c r="A4" s="4" t="inlineStr">
        <is>
          <t>1.   Take the next university from the list Jeff gave you.</t>
        </is>
      </c>
    </row>
    <row r="5" ht="30" customHeight="1">
      <c r="A5" s="4" t="inlineStr">
        <is>
          <t>2.   Find its unitid. Open NCES College Navigator, search the university name, copy the 6-digit UNITID. This number connects your row to our database. Check it twice.</t>
        </is>
      </c>
    </row>
    <row r="6" ht="30" customHeight="1">
      <c r="A6" s="4" t="inlineStr">
        <is>
          <t>3.   Open the Universities tab, go to the first empty row, and fill: status = in progress, collector = your name, unitid, university_name, city, state.</t>
        </is>
      </c>
    </row>
    <row r="7" ht="30" customHeight="1">
      <c r="A7" s="4" t="inlineStr">
        <is>
          <t>4.   Now fill the groups from left to right. In each group, put the link in _source_url and today's date in _retrieved_on first, then the answers. Where to look:</t>
        </is>
      </c>
    </row>
    <row r="8" ht="15" customHeight="1">
      <c r="A8" s="9" t="inlineStr">
        <is>
          <t xml:space="preserve">        Applying  →  the admissions deadlines page</t>
        </is>
      </c>
    </row>
    <row r="9" ht="15" customHeight="1">
      <c r="A9" s="9" t="inlineStr">
        <is>
          <t xml:space="preserve">        Published costs  →  the cost page, or CDS section G</t>
        </is>
      </c>
    </row>
    <row r="10" ht="15" customHeight="1">
      <c r="A10" s="9" t="inlineStr">
        <is>
          <t xml:space="preserve">        Living cost, off campus  →  the cost of attendance page, off-campus budget</t>
        </is>
      </c>
    </row>
    <row r="11" ht="15" customHeight="1">
      <c r="A11" s="9" t="inlineStr">
        <is>
          <t xml:space="preserve">        International students and aid  →  international admissions and financial aid</t>
        </is>
      </c>
    </row>
    <row r="12" ht="15" customHeight="1">
      <c r="A12" s="9" t="inlineStr">
        <is>
          <t xml:space="preserve">        Tests  →  CDS section C, or the admissions requirements page</t>
        </is>
      </c>
    </row>
    <row r="13" ht="15" customHeight="1">
      <c r="A13" s="9" t="inlineStr">
        <is>
          <t xml:space="preserve">        English language  →  the English proficiency page</t>
        </is>
      </c>
    </row>
    <row r="14" ht="15" customHeight="1">
      <c r="A14" s="9" t="inlineStr">
        <is>
          <t xml:space="preserve">        Scholarships  →  the scholarships page</t>
        </is>
      </c>
    </row>
    <row r="15" ht="15" customHeight="1">
      <c r="A15" s="9" t="inlineStr">
        <is>
          <t xml:space="preserve">        Outcomes  →  the career outcomes page</t>
        </is>
      </c>
    </row>
    <row r="16" ht="30" customHeight="1">
      <c r="A16" s="4" t="inlineStr">
        <is>
          <t>5.   If has_intl_scholarships is yes, go to the Scholarships tab and add one row for each scholarship. Use the same unitid. If the page lists a score or GPA a student must reach, put it in the condition columns.</t>
        </is>
      </c>
    </row>
    <row r="17" ht="30" customHeight="1">
      <c r="A17" s="4" t="inlineStr">
        <is>
          <t>6.   Cannot find a value anywhere? Type not_reported. Not sure which number is the right one? Leave it empty, write the question in collector_notes, message Jeff.</t>
        </is>
      </c>
    </row>
    <row r="18" ht="30" customHeight="1">
      <c r="A18" s="4" t="inlineStr">
        <is>
          <t>7.   Look at the three green columns on the right. If one shows a problem, a number went into the wrong cell. Find it and fix it.</t>
        </is>
      </c>
    </row>
    <row r="19" ht="15" customHeight="1">
      <c r="A19" s="4" t="inlineStr">
        <is>
          <t>8.   Set status = done and fill date_completed.</t>
        </is>
      </c>
    </row>
    <row r="20"/>
    <row r="21" ht="20" customHeight="1">
      <c r="A21" s="3" t="inlineStr">
        <is>
          <t>The two that people get wrong</t>
        </is>
      </c>
    </row>
    <row r="22" ht="30" customHeight="1">
      <c r="A22" s="4" t="inlineStr">
        <is>
          <t>•   room_board_usd is for living ON campus. living_cost_total_usd is for a student renting OFF campus. They are different numbers and we need both.</t>
        </is>
      </c>
    </row>
    <row r="23" ht="45" customHeight="1">
      <c r="A23" s="4" t="inlineStr">
        <is>
          <t>•   sat_benchmark and act_benchmark: write admission_minimum only if the university says a student must reach that score. If the number is just the score of students who got in, write indicative. Getting this wrong tells a student they cannot apply when they can.</t>
        </is>
      </c>
    </row>
    <row r="24"/>
    <row r="25" ht="20" customHeight="1">
      <c r="A25" s="3" t="inlineStr">
        <is>
          <t>If you get stuck</t>
        </is>
      </c>
    </row>
    <row r="26" ht="30" customHeight="1">
      <c r="A26" s="4" t="inlineStr">
        <is>
          <t>•   The page gives a range (for example 15,000 to 18,000). Put the larger number, and write the full range in collector_notes.</t>
        </is>
      </c>
    </row>
    <row r="27" ht="45" customHeight="1">
      <c r="A27" s="4" t="inlineStr">
        <is>
          <t>•   The page gives a cost per semester, not per year. Write the per-year number only if the page states it. If it does not, type not_reported and write what the page said in collector_notes. Do not multiply it yourself.</t>
        </is>
      </c>
    </row>
    <row r="28" ht="30" customHeight="1">
      <c r="A28" s="4" t="inlineStr">
        <is>
          <t>•   Two pages give different numbers. Use the newer page. Write the other number and its link in collector_notes.</t>
        </is>
      </c>
    </row>
    <row r="29" ht="30" customHeight="1">
      <c r="A29" s="4" t="inlineStr">
        <is>
          <t>•   A deadline is rolling, or there is no date. Type not_reported and write  rolling admission  in collector_notes.</t>
        </is>
      </c>
    </row>
    <row r="30" ht="30" customHeight="1">
      <c r="A30" s="4" t="inlineStr">
        <is>
          <t>•   No Common Data Set. That is fine, most of this comes from the website anyway. Write  no CDS published  in collector_notes.</t>
        </is>
      </c>
    </row>
    <row r="31" ht="15" customHeight="1">
      <c r="A31" s="4" t="inlineStr">
        <is>
          <t>•   It is a community college, not a 4-year university. Stop, do not fill the row, message Jeff.</t>
        </is>
      </c>
    </row>
    <row r="32"/>
    <row r="33" ht="20" customHeight="1">
      <c r="A33" s="3" t="inlineStr">
        <is>
          <t>The one thing that matters most</t>
        </is>
      </c>
    </row>
    <row r="34" ht="45" customHeight="1">
      <c r="A34" s="2" t="inlineStr">
        <is>
          <t>A missing answer costs us nothing. We can find it later. A guessed answer is much worse, because it looks correct and nobody knows it is wrong. A student could miss a deadline because of it. When in doubt, leave it empty and ask.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10" min="1" max="1"/>
    <col width="17" customWidth="1" style="10" min="2" max="2"/>
    <col width="17" customWidth="1" style="10" min="3" max="3"/>
    <col width="17" customWidth="1" style="10" min="4" max="4"/>
    <col width="30" customWidth="1" style="10" min="5" max="5"/>
    <col width="24" customWidth="1" style="10" min="6" max="6"/>
    <col width="17" customWidth="1" style="10" min="7" max="7"/>
    <col width="17" customWidth="1" style="10" min="8" max="8"/>
    <col width="17" customWidth="1" style="10" min="9" max="9"/>
    <col width="17" customWidth="1" style="10" min="10" max="10"/>
    <col width="17" customWidth="1" style="10" min="11" max="11"/>
    <col width="18" customWidth="1" style="10" min="12" max="12"/>
    <col width="32" customWidth="1" style="11" min="13" max="13"/>
    <col width="17" customWidth="1" style="11" min="14" max="14"/>
    <col width="17" customWidth="1" style="10" min="15" max="15"/>
    <col width="17" customWidth="1" style="10" min="16" max="16"/>
    <col width="17" customWidth="1" style="10" min="17" max="17"/>
    <col width="17" customWidth="1" style="10" min="18" max="18"/>
    <col width="17" customWidth="1" style="10" min="19" max="19"/>
    <col width="32" customWidth="1" style="11" min="20" max="20"/>
    <col width="17" customWidth="1" style="11" min="21" max="21"/>
    <col width="17" customWidth="1" style="10" min="22" max="22"/>
    <col width="17" customWidth="1" style="10" min="23" max="23"/>
    <col width="17" customWidth="1" style="10" min="24" max="24"/>
    <col width="17" customWidth="1" style="10" min="25" max="25"/>
    <col width="17" customWidth="1" style="10" min="26" max="26"/>
    <col width="32" customWidth="1" style="11" min="27" max="27"/>
    <col width="17" customWidth="1" style="11" min="28" max="28"/>
    <col width="17" customWidth="1" style="10" min="29" max="29"/>
    <col width="17" customWidth="1" style="10" min="30" max="30"/>
    <col width="40" customWidth="1" style="10" min="31" max="31"/>
    <col width="17" customWidth="1" style="10" min="32" max="32"/>
    <col width="32" customWidth="1" style="11" min="33" max="33"/>
    <col width="17" customWidth="1" style="11" min="34" max="34"/>
    <col width="17" customWidth="1" style="10" min="35" max="35"/>
    <col width="17" customWidth="1" style="10" min="36" max="36"/>
    <col width="17" customWidth="1" style="10" min="37" max="37"/>
    <col width="17" customWidth="1" style="10" min="38" max="38"/>
    <col width="17" customWidth="1" style="10" min="39" max="39"/>
    <col width="17" customWidth="1" style="10" min="40" max="40"/>
    <col width="17" customWidth="1" style="10" min="41" max="41"/>
    <col width="32" customWidth="1" style="11" min="42" max="42"/>
    <col width="17" customWidth="1" style="11" min="43" max="43"/>
    <col width="17" customWidth="1" style="10" min="44" max="44"/>
    <col width="17" customWidth="1" style="10" min="45" max="45"/>
    <col width="17" customWidth="1" style="10" min="46" max="46"/>
    <col width="36" customWidth="1" style="10" min="47" max="47"/>
    <col width="17" customWidth="1" style="10" min="48" max="48"/>
    <col width="32" customWidth="1" style="11" min="49" max="49"/>
    <col width="17" customWidth="1" style="11" min="50" max="50"/>
    <col width="17" customWidth="1" style="10" min="51" max="51"/>
    <col width="32" customWidth="1" style="11" min="52" max="52"/>
    <col width="17" customWidth="1" style="11" min="53" max="53"/>
    <col width="17" customWidth="1" style="10" min="54" max="54"/>
    <col width="36" customWidth="1" style="10" min="55" max="55"/>
    <col width="17" customWidth="1" style="10" min="56" max="56"/>
    <col width="32" customWidth="1" style="11" min="57" max="57"/>
    <col width="17" customWidth="1" style="11" min="58" max="58"/>
    <col width="36" customWidth="1" style="10" min="59" max="59"/>
    <col width="18" customWidth="1" min="62" max="62"/>
  </cols>
  <sheetData>
    <row r="1" ht="42" customHeight="1">
      <c r="A1" s="12" t="inlineStr">
        <is>
          <t>status</t>
        </is>
      </c>
      <c r="B1" s="12" t="inlineStr">
        <is>
          <t>collector</t>
        </is>
      </c>
      <c r="C1" s="12" t="inlineStr">
        <is>
          <t>date_completed</t>
        </is>
      </c>
      <c r="D1" s="12" t="inlineStr">
        <is>
          <t>unitid</t>
        </is>
      </c>
      <c r="E1" s="12" t="inlineStr">
        <is>
          <t>university_name</t>
        </is>
      </c>
      <c r="F1" s="12" t="inlineStr">
        <is>
          <t>city</t>
        </is>
      </c>
      <c r="G1" s="12" t="inlineStr">
        <is>
          <t>state</t>
        </is>
      </c>
      <c r="H1" s="12" t="inlineStr">
        <is>
          <t>application_fee_usd</t>
        </is>
      </c>
      <c r="I1" s="12" t="inlineStr">
        <is>
          <t>deadline_regular</t>
        </is>
      </c>
      <c r="J1" s="12" t="inlineStr">
        <is>
          <t>deadline_early</t>
        </is>
      </c>
      <c r="K1" s="12" t="inlineStr">
        <is>
          <t>deadline_international</t>
        </is>
      </c>
      <c r="L1" s="12" t="inlineStr">
        <is>
          <t>intake_terms</t>
        </is>
      </c>
      <c r="M1" s="12" t="inlineStr">
        <is>
          <t>app_source_url</t>
        </is>
      </c>
      <c r="N1" s="12" t="inlineStr">
        <is>
          <t>app_retrieved_on</t>
        </is>
      </c>
      <c r="O1" s="12" t="inlineStr">
        <is>
          <t>tuition_usd</t>
        </is>
      </c>
      <c r="P1" s="12" t="inlineStr">
        <is>
          <t>fees_usd</t>
        </is>
      </c>
      <c r="Q1" s="12" t="inlineStr">
        <is>
          <t>room_board_usd</t>
        </is>
      </c>
      <c r="R1" s="12" t="inlineStr">
        <is>
          <t>total_cost_of_attendance_usd</t>
        </is>
      </c>
      <c r="S1" s="12" t="inlineStr">
        <is>
          <t>cost_academic_year</t>
        </is>
      </c>
      <c r="T1" s="12" t="inlineStr">
        <is>
          <t>cost_source_url</t>
        </is>
      </c>
      <c r="U1" s="12" t="inlineStr">
        <is>
          <t>cost_retrieved_on</t>
        </is>
      </c>
      <c r="V1" s="12" t="inlineStr">
        <is>
          <t>living_cost_total_usd</t>
        </is>
      </c>
      <c r="W1" s="12" t="inlineStr">
        <is>
          <t>living_accommodation_usd</t>
        </is>
      </c>
      <c r="X1" s="12" t="inlineStr">
        <is>
          <t>living_food_usd</t>
        </is>
      </c>
      <c r="Y1" s="12" t="inlineStr">
        <is>
          <t>living_transport_usd</t>
        </is>
      </c>
      <c r="Z1" s="12" t="inlineStr">
        <is>
          <t>living_utilities_usd</t>
        </is>
      </c>
      <c r="AA1" s="12" t="inlineStr">
        <is>
          <t>living_source_url</t>
        </is>
      </c>
      <c r="AB1" s="12" t="inlineStr">
        <is>
          <t>living_retrieved_on</t>
        </is>
      </c>
      <c r="AC1" s="12" t="inlineStr">
        <is>
          <t>international_student_pct</t>
        </is>
      </c>
      <c r="AD1" s="12" t="inlineStr">
        <is>
          <t>aid_international</t>
        </is>
      </c>
      <c r="AE1" s="12" t="inlineStr">
        <is>
          <t>aid_international_detail</t>
        </is>
      </c>
      <c r="AF1" s="12" t="inlineStr">
        <is>
          <t>financial_certification_usd</t>
        </is>
      </c>
      <c r="AG1" s="12" t="inlineStr">
        <is>
          <t>intl_source_url</t>
        </is>
      </c>
      <c r="AH1" s="12" t="inlineStr">
        <is>
          <t>intl_retrieved_on</t>
        </is>
      </c>
      <c r="AI1" s="12" t="inlineStr">
        <is>
          <t>test_policy</t>
        </is>
      </c>
      <c r="AJ1" s="12" t="inlineStr">
        <is>
          <t>sat_value</t>
        </is>
      </c>
      <c r="AK1" s="12" t="inlineStr">
        <is>
          <t>sat_benchmark</t>
        </is>
      </c>
      <c r="AL1" s="12" t="inlineStr">
        <is>
          <t>act_value</t>
        </is>
      </c>
      <c r="AM1" s="12" t="inlineStr">
        <is>
          <t>act_benchmark</t>
        </is>
      </c>
      <c r="AN1" s="12" t="inlineStr">
        <is>
          <t>gpa_value</t>
        </is>
      </c>
      <c r="AO1" s="12" t="inlineStr">
        <is>
          <t>gpa_benchmark</t>
        </is>
      </c>
      <c r="AP1" s="12" t="inlineStr">
        <is>
          <t>test_source_url</t>
        </is>
      </c>
      <c r="AQ1" s="12" t="inlineStr">
        <is>
          <t>test_retrieved_on</t>
        </is>
      </c>
      <c r="AR1" s="12" t="inlineStr">
        <is>
          <t>toefl_min</t>
        </is>
      </c>
      <c r="AS1" s="12" t="inlineStr">
        <is>
          <t>ielts_min</t>
        </is>
      </c>
      <c r="AT1" s="12" t="inlineStr">
        <is>
          <t>duolingo_min</t>
        </is>
      </c>
      <c r="AU1" s="12" t="inlineStr">
        <is>
          <t>english_alternative</t>
        </is>
      </c>
      <c r="AV1" s="12" t="inlineStr">
        <is>
          <t>instruction_language</t>
        </is>
      </c>
      <c r="AW1" s="12" t="inlineStr">
        <is>
          <t>lang_source_url</t>
        </is>
      </c>
      <c r="AX1" s="12" t="inlineStr">
        <is>
          <t>lang_retrieved_on</t>
        </is>
      </c>
      <c r="AY1" s="12" t="inlineStr">
        <is>
          <t>has_intl_scholarships</t>
        </is>
      </c>
      <c r="AZ1" s="12" t="inlineStr">
        <is>
          <t>schol_source_url</t>
        </is>
      </c>
      <c r="BA1" s="12" t="inlineStr">
        <is>
          <t>schol_retrieved_on</t>
        </is>
      </c>
      <c r="BB1" s="12" t="inlineStr">
        <is>
          <t>employability_rate_pct</t>
        </is>
      </c>
      <c r="BC1" s="12" t="inlineStr">
        <is>
          <t>employability_summary</t>
        </is>
      </c>
      <c r="BD1" s="12" t="inlineStr">
        <is>
          <t>faculty_count</t>
        </is>
      </c>
      <c r="BE1" s="12" t="inlineStr">
        <is>
          <t>out_source_url</t>
        </is>
      </c>
      <c r="BF1" s="12" t="inlineStr">
        <is>
          <t>out_retrieved_on</t>
        </is>
      </c>
      <c r="BG1" s="12" t="inlineStr">
        <is>
          <t>collector_notes</t>
        </is>
      </c>
      <c r="BH1" s="13" t="inlineStr">
        <is>
          <t>cost_check</t>
        </is>
      </c>
      <c r="BI1" s="13" t="inlineStr">
        <is>
          <t>living_check</t>
        </is>
      </c>
      <c r="BJ1" s="13" t="inlineStr">
        <is>
          <t>pct_complete</t>
        </is>
      </c>
    </row>
    <row r="2">
      <c r="A2" s="14" t="inlineStr">
        <is>
          <t>done</t>
        </is>
      </c>
      <c r="B2" s="14" t="inlineStr">
        <is>
          <t>example</t>
        </is>
      </c>
      <c r="C2" s="14" t="inlineStr">
        <is>
          <t>2027-01-15</t>
        </is>
      </c>
      <c r="D2" s="14" t="inlineStr">
        <is>
          <t>999999</t>
        </is>
      </c>
      <c r="E2" s="14" t="inlineStr">
        <is>
          <t>EXAMPLE ROW - do not copy</t>
        </is>
      </c>
      <c r="F2" s="14" t="inlineStr">
        <is>
          <t>Cambridge, Massachusetts</t>
        </is>
      </c>
      <c r="G2" s="14" t="inlineStr">
        <is>
          <t>MA</t>
        </is>
      </c>
      <c r="H2" s="14" t="inlineStr">
        <is>
          <t>75</t>
        </is>
      </c>
      <c r="I2" s="14" t="inlineStr">
        <is>
          <t>2027-01-01</t>
        </is>
      </c>
      <c r="J2" s="14" t="inlineStr">
        <is>
          <t>2026-11-01</t>
        </is>
      </c>
      <c r="K2" s="14" t="inlineStr">
        <is>
          <t>2027-01-01</t>
        </is>
      </c>
      <c r="L2" s="14" t="inlineStr">
        <is>
          <t>Fall; Spring</t>
        </is>
      </c>
      <c r="M2" s="14" t="inlineStr">
        <is>
          <t>https://example.edu/admissions/deadlines</t>
        </is>
      </c>
      <c r="N2" s="14" t="inlineStr">
        <is>
          <t>2026-10-10</t>
        </is>
      </c>
      <c r="O2" s="14" t="inlineStr">
        <is>
          <t>59000</t>
        </is>
      </c>
      <c r="P2" s="14" t="inlineStr">
        <is>
          <t>2500</t>
        </is>
      </c>
      <c r="Q2" s="14" t="inlineStr">
        <is>
          <t>21000</t>
        </is>
      </c>
      <c r="R2" s="14" t="inlineStr">
        <is>
          <t>82500</t>
        </is>
      </c>
      <c r="S2" s="14" t="inlineStr">
        <is>
          <t>2026-2027</t>
        </is>
      </c>
      <c r="T2" s="14" t="inlineStr">
        <is>
          <t>https://example.edu/cost</t>
        </is>
      </c>
      <c r="U2" s="14" t="inlineStr">
        <is>
          <t>2026-10-10</t>
        </is>
      </c>
      <c r="V2" s="14" t="inlineStr">
        <is>
          <t>24000</t>
        </is>
      </c>
      <c r="W2" s="14" t="inlineStr">
        <is>
          <t>15000</t>
        </is>
      </c>
      <c r="X2" s="14" t="inlineStr">
        <is>
          <t>6000</t>
        </is>
      </c>
      <c r="Y2" s="14" t="inlineStr">
        <is>
          <t>1800</t>
        </is>
      </c>
      <c r="Z2" s="14" t="inlineStr">
        <is>
          <t>1200</t>
        </is>
      </c>
      <c r="AA2" s="14" t="inlineStr">
        <is>
          <t>https://example.edu/cost/off-campus</t>
        </is>
      </c>
      <c r="AB2" s="14" t="inlineStr">
        <is>
          <t>2026-10-10</t>
        </is>
      </c>
      <c r="AC2" s="14" t="inlineStr">
        <is>
          <t>12.4</t>
        </is>
      </c>
      <c r="AD2" s="14" t="inlineStr">
        <is>
          <t>yes</t>
        </is>
      </c>
      <c r="AE2" s="14" t="inlineStr">
        <is>
          <t>Need-aware for international applicants; average award 58000 USD</t>
        </is>
      </c>
      <c r="AF2" s="14" t="inlineStr">
        <is>
          <t>81000</t>
        </is>
      </c>
      <c r="AG2" s="14" t="inlineStr">
        <is>
          <t>https://example.edu/aid/international</t>
        </is>
      </c>
      <c r="AH2" s="14" t="inlineStr">
        <is>
          <t>2026-10-10</t>
        </is>
      </c>
      <c r="AI2" s="14" t="inlineStr">
        <is>
          <t>optional</t>
        </is>
      </c>
      <c r="AJ2" s="14" t="inlineStr">
        <is>
          <t>1500</t>
        </is>
      </c>
      <c r="AK2" s="14" t="inlineStr">
        <is>
          <t>indicative</t>
        </is>
      </c>
      <c r="AL2" s="14" t="inlineStr">
        <is>
          <t>34</t>
        </is>
      </c>
      <c r="AM2" s="14" t="inlineStr">
        <is>
          <t>indicative</t>
        </is>
      </c>
      <c r="AN2" s="14" t="inlineStr">
        <is>
          <t>not_reported</t>
        </is>
      </c>
      <c r="AO2" s="14" t="inlineStr">
        <is>
          <t>none</t>
        </is>
      </c>
      <c r="AP2" s="14" t="inlineStr">
        <is>
          <t>https://example.edu/ir/cds-2024-2025.pdf</t>
        </is>
      </c>
      <c r="AQ2" s="14" t="inlineStr">
        <is>
          <t>2026-10-10</t>
        </is>
      </c>
      <c r="AR2" s="14" t="inlineStr">
        <is>
          <t>100</t>
        </is>
      </c>
      <c r="AS2" s="14" t="inlineStr">
        <is>
          <t>7.0</t>
        </is>
      </c>
      <c r="AT2" s="14" t="inlineStr">
        <is>
          <t>130</t>
        </is>
      </c>
      <c r="AU2" s="14" t="inlineStr">
        <is>
          <t>Waived after 4 years of school taught in English</t>
        </is>
      </c>
      <c r="AV2" s="14" t="inlineStr">
        <is>
          <t>English</t>
        </is>
      </c>
      <c r="AW2" s="14" t="inlineStr">
        <is>
          <t>https://example.edu/admissions/english</t>
        </is>
      </c>
      <c r="AX2" s="14" t="inlineStr">
        <is>
          <t>2026-10-10</t>
        </is>
      </c>
      <c r="AY2" s="14" t="inlineStr">
        <is>
          <t>yes</t>
        </is>
      </c>
      <c r="AZ2" s="14" t="inlineStr">
        <is>
          <t>https://example.edu/aid/scholarships</t>
        </is>
      </c>
      <c r="BA2" s="14" t="inlineStr">
        <is>
          <t>2026-10-10</t>
        </is>
      </c>
      <c r="BB2" s="14" t="inlineStr">
        <is>
          <t>94.0</t>
        </is>
      </c>
      <c r="BC2" s="14" t="inlineStr">
        <is>
          <t>94% employed or in graduate school within 6 months</t>
        </is>
      </c>
      <c r="BD2" s="14" t="inlineStr">
        <is>
          <t>1200</t>
        </is>
      </c>
      <c r="BE2" s="14" t="inlineStr">
        <is>
          <t>https://example.edu/careers/outcomes</t>
        </is>
      </c>
      <c r="BF2" s="14" t="inlineStr">
        <is>
          <t>2026-10-10</t>
        </is>
      </c>
      <c r="BG2" s="14" t="inlineStr">
        <is>
          <t>Nothing unusual</t>
        </is>
      </c>
      <c r="BH2" s="15">
        <f>IF(OR(N(O2)=0,N(R2)=0),"",IF(ABS(O2+N(P2)+N(Q2)-R2)&lt;=1500,"ok","CHECK"))</f>
        <v/>
      </c>
      <c r="BI2" s="15">
        <f>IF(N(V2)=0,"",IF(ABS(N(W2)+N(X2)+N(Y2)+N(Z2)-V2)&lt;=1000,"ok","CHECK"))</f>
        <v/>
      </c>
      <c r="BJ2" s="16">
        <f>(COLUMNS($D2:$BG2)-COUNTBLANK($D2:$BG2))/COLUMNS($D2:$BG2)</f>
        <v/>
      </c>
    </row>
    <row r="3">
      <c r="BH3" s="15">
        <f>IF(OR(N(O3)=0,N(R3)=0),"",IF(ABS(O3+N(P3)+N(Q3)-R3)&lt;=1500,"ok","CHECK"))</f>
        <v/>
      </c>
      <c r="BI3" s="15">
        <f>IF(N(V3)=0,"",IF(ABS(N(W3)+N(X3)+N(Y3)+N(Z3)-V3)&lt;=1000,"ok","CHECK"))</f>
        <v/>
      </c>
      <c r="BJ3" s="16">
        <f>(COLUMNS($D3:$BG3)-COUNTBLANK($D3:$BG3))/COLUMNS($D3:$BG3)</f>
        <v/>
      </c>
    </row>
    <row r="4">
      <c r="BH4" s="15">
        <f>IF(OR(N(O4)=0,N(R4)=0),"",IF(ABS(O4+N(P4)+N(Q4)-R4)&lt;=1500,"ok","CHECK"))</f>
        <v/>
      </c>
      <c r="BI4" s="15">
        <f>IF(N(V4)=0,"",IF(ABS(N(W4)+N(X4)+N(Y4)+N(Z4)-V4)&lt;=1000,"ok","CHECK"))</f>
        <v/>
      </c>
      <c r="BJ4" s="16">
        <f>(COLUMNS($D4:$BG4)-COUNTBLANK($D4:$BG4))/COLUMNS($D4:$BG4)</f>
        <v/>
      </c>
    </row>
    <row r="5">
      <c r="BH5" s="15">
        <f>IF(OR(N(O5)=0,N(R5)=0),"",IF(ABS(O5+N(P5)+N(Q5)-R5)&lt;=1500,"ok","CHECK"))</f>
        <v/>
      </c>
      <c r="BI5" s="15">
        <f>IF(N(V5)=0,"",IF(ABS(N(W5)+N(X5)+N(Y5)+N(Z5)-V5)&lt;=1000,"ok","CHECK"))</f>
        <v/>
      </c>
      <c r="BJ5" s="16">
        <f>(COLUMNS($D5:$BG5)-COUNTBLANK($D5:$BG5))/COLUMNS($D5:$BG5)</f>
        <v/>
      </c>
    </row>
    <row r="6">
      <c r="BH6" s="15">
        <f>IF(OR(N(O6)=0,N(R6)=0),"",IF(ABS(O6+N(P6)+N(Q6)-R6)&lt;=1500,"ok","CHECK"))</f>
        <v/>
      </c>
      <c r="BI6" s="15">
        <f>IF(N(V6)=0,"",IF(ABS(N(W6)+N(X6)+N(Y6)+N(Z6)-V6)&lt;=1000,"ok","CHECK"))</f>
        <v/>
      </c>
      <c r="BJ6" s="16">
        <f>(COLUMNS($D6:$BG6)-COUNTBLANK($D6:$BG6))/COLUMNS($D6:$BG6)</f>
        <v/>
      </c>
    </row>
    <row r="7">
      <c r="BH7" s="15">
        <f>IF(OR(N(O7)=0,N(R7)=0),"",IF(ABS(O7+N(P7)+N(Q7)-R7)&lt;=1500,"ok","CHECK"))</f>
        <v/>
      </c>
      <c r="BI7" s="15">
        <f>IF(N(V7)=0,"",IF(ABS(N(W7)+N(X7)+N(Y7)+N(Z7)-V7)&lt;=1000,"ok","CHECK"))</f>
        <v/>
      </c>
      <c r="BJ7" s="16">
        <f>(COLUMNS($D7:$BG7)-COUNTBLANK($D7:$BG7))/COLUMNS($D7:$BG7)</f>
        <v/>
      </c>
    </row>
    <row r="8">
      <c r="BH8" s="15">
        <f>IF(OR(N(O8)=0,N(R8)=0),"",IF(ABS(O8+N(P8)+N(Q8)-R8)&lt;=1500,"ok","CHECK"))</f>
        <v/>
      </c>
      <c r="BI8" s="15">
        <f>IF(N(V8)=0,"",IF(ABS(N(W8)+N(X8)+N(Y8)+N(Z8)-V8)&lt;=1000,"ok","CHECK"))</f>
        <v/>
      </c>
      <c r="BJ8" s="16">
        <f>(COLUMNS($D8:$BG8)-COUNTBLANK($D8:$BG8))/COLUMNS($D8:$BG8)</f>
        <v/>
      </c>
    </row>
    <row r="9">
      <c r="BH9" s="15">
        <f>IF(OR(N(O9)=0,N(R9)=0),"",IF(ABS(O9+N(P9)+N(Q9)-R9)&lt;=1500,"ok","CHECK"))</f>
        <v/>
      </c>
      <c r="BI9" s="15">
        <f>IF(N(V9)=0,"",IF(ABS(N(W9)+N(X9)+N(Y9)+N(Z9)-V9)&lt;=1000,"ok","CHECK"))</f>
        <v/>
      </c>
      <c r="BJ9" s="16">
        <f>(COLUMNS($D9:$BG9)-COUNTBLANK($D9:$BG9))/COLUMNS($D9:$BG9)</f>
        <v/>
      </c>
    </row>
    <row r="10">
      <c r="BH10" s="15">
        <f>IF(OR(N(O10)=0,N(R10)=0),"",IF(ABS(O10+N(P10)+N(Q10)-R10)&lt;=1500,"ok","CHECK"))</f>
        <v/>
      </c>
      <c r="BI10" s="15">
        <f>IF(N(V10)=0,"",IF(ABS(N(W10)+N(X10)+N(Y10)+N(Z10)-V10)&lt;=1000,"ok","CHECK"))</f>
        <v/>
      </c>
      <c r="BJ10" s="16">
        <f>(COLUMNS($D10:$BG10)-COUNTBLANK($D10:$BG10))/COLUMNS($D10:$BG10)</f>
        <v/>
      </c>
    </row>
    <row r="11">
      <c r="BH11" s="15">
        <f>IF(OR(N(O11)=0,N(R11)=0),"",IF(ABS(O11+N(P11)+N(Q11)-R11)&lt;=1500,"ok","CHECK"))</f>
        <v/>
      </c>
      <c r="BI11" s="15">
        <f>IF(N(V11)=0,"",IF(ABS(N(W11)+N(X11)+N(Y11)+N(Z11)-V11)&lt;=1000,"ok","CHECK"))</f>
        <v/>
      </c>
      <c r="BJ11" s="16">
        <f>(COLUMNS($D11:$BG11)-COUNTBLANK($D11:$BG11))/COLUMNS($D11:$BG11)</f>
        <v/>
      </c>
    </row>
    <row r="12">
      <c r="BH12" s="15">
        <f>IF(OR(N(O12)=0,N(R12)=0),"",IF(ABS(O12+N(P12)+N(Q12)-R12)&lt;=1500,"ok","CHECK"))</f>
        <v/>
      </c>
      <c r="BI12" s="15">
        <f>IF(N(V12)=0,"",IF(ABS(N(W12)+N(X12)+N(Y12)+N(Z12)-V12)&lt;=1000,"ok","CHECK"))</f>
        <v/>
      </c>
      <c r="BJ12" s="16">
        <f>(COLUMNS($D12:$BG12)-COUNTBLANK($D12:$BG12))/COLUMNS($D12:$BG12)</f>
        <v/>
      </c>
    </row>
    <row r="13">
      <c r="BH13" s="15">
        <f>IF(OR(N(O13)=0,N(R13)=0),"",IF(ABS(O13+N(P13)+N(Q13)-R13)&lt;=1500,"ok","CHECK"))</f>
        <v/>
      </c>
      <c r="BI13" s="15">
        <f>IF(N(V13)=0,"",IF(ABS(N(W13)+N(X13)+N(Y13)+N(Z13)-V13)&lt;=1000,"ok","CHECK"))</f>
        <v/>
      </c>
      <c r="BJ13" s="16">
        <f>(COLUMNS($D13:$BG13)-COUNTBLANK($D13:$BG13))/COLUMNS($D13:$BG13)</f>
        <v/>
      </c>
    </row>
    <row r="14">
      <c r="BH14" s="15">
        <f>IF(OR(N(O14)=0,N(R14)=0),"",IF(ABS(O14+N(P14)+N(Q14)-R14)&lt;=1500,"ok","CHECK"))</f>
        <v/>
      </c>
      <c r="BI14" s="15">
        <f>IF(N(V14)=0,"",IF(ABS(N(W14)+N(X14)+N(Y14)+N(Z14)-V14)&lt;=1000,"ok","CHECK"))</f>
        <v/>
      </c>
      <c r="BJ14" s="16">
        <f>(COLUMNS($D14:$BG14)-COUNTBLANK($D14:$BG14))/COLUMNS($D14:$BG14)</f>
        <v/>
      </c>
    </row>
    <row r="15">
      <c r="BH15" s="15">
        <f>IF(OR(N(O15)=0,N(R15)=0),"",IF(ABS(O15+N(P15)+N(Q15)-R15)&lt;=1500,"ok","CHECK"))</f>
        <v/>
      </c>
      <c r="BI15" s="15">
        <f>IF(N(V15)=0,"",IF(ABS(N(W15)+N(X15)+N(Y15)+N(Z15)-V15)&lt;=1000,"ok","CHECK"))</f>
        <v/>
      </c>
      <c r="BJ15" s="16">
        <f>(COLUMNS($D15:$BG15)-COUNTBLANK($D15:$BG15))/COLUMNS($D15:$BG15)</f>
        <v/>
      </c>
    </row>
    <row r="16">
      <c r="BH16" s="15">
        <f>IF(OR(N(O16)=0,N(R16)=0),"",IF(ABS(O16+N(P16)+N(Q16)-R16)&lt;=1500,"ok","CHECK"))</f>
        <v/>
      </c>
      <c r="BI16" s="15">
        <f>IF(N(V16)=0,"",IF(ABS(N(W16)+N(X16)+N(Y16)+N(Z16)-V16)&lt;=1000,"ok","CHECK"))</f>
        <v/>
      </c>
      <c r="BJ16" s="16">
        <f>(COLUMNS($D16:$BG16)-COUNTBLANK($D16:$BG16))/COLUMNS($D16:$BG16)</f>
        <v/>
      </c>
    </row>
    <row r="17">
      <c r="BH17" s="15">
        <f>IF(OR(N(O17)=0,N(R17)=0),"",IF(ABS(O17+N(P17)+N(Q17)-R17)&lt;=1500,"ok","CHECK"))</f>
        <v/>
      </c>
      <c r="BI17" s="15">
        <f>IF(N(V17)=0,"",IF(ABS(N(W17)+N(X17)+N(Y17)+N(Z17)-V17)&lt;=1000,"ok","CHECK"))</f>
        <v/>
      </c>
      <c r="BJ17" s="16">
        <f>(COLUMNS($D17:$BG17)-COUNTBLANK($D17:$BG17))/COLUMNS($D17:$BG17)</f>
        <v/>
      </c>
    </row>
    <row r="18">
      <c r="BH18" s="15">
        <f>IF(OR(N(O18)=0,N(R18)=0),"",IF(ABS(O18+N(P18)+N(Q18)-R18)&lt;=1500,"ok","CHECK"))</f>
        <v/>
      </c>
      <c r="BI18" s="15">
        <f>IF(N(V18)=0,"",IF(ABS(N(W18)+N(X18)+N(Y18)+N(Z18)-V18)&lt;=1000,"ok","CHECK"))</f>
        <v/>
      </c>
      <c r="BJ18" s="16">
        <f>(COLUMNS($D18:$BG18)-COUNTBLANK($D18:$BG18))/COLUMNS($D18:$BG18)</f>
        <v/>
      </c>
    </row>
    <row r="19">
      <c r="BH19" s="15">
        <f>IF(OR(N(O19)=0,N(R19)=0),"",IF(ABS(O19+N(P19)+N(Q19)-R19)&lt;=1500,"ok","CHECK"))</f>
        <v/>
      </c>
      <c r="BI19" s="15">
        <f>IF(N(V19)=0,"",IF(ABS(N(W19)+N(X19)+N(Y19)+N(Z19)-V19)&lt;=1000,"ok","CHECK"))</f>
        <v/>
      </c>
      <c r="BJ19" s="16">
        <f>(COLUMNS($D19:$BG19)-COUNTBLANK($D19:$BG19))/COLUMNS($D19:$BG19)</f>
        <v/>
      </c>
    </row>
    <row r="20">
      <c r="BH20" s="15">
        <f>IF(OR(N(O20)=0,N(R20)=0),"",IF(ABS(O20+N(P20)+N(Q20)-R20)&lt;=1500,"ok","CHECK"))</f>
        <v/>
      </c>
      <c r="BI20" s="15">
        <f>IF(N(V20)=0,"",IF(ABS(N(W20)+N(X20)+N(Y20)+N(Z20)-V20)&lt;=1000,"ok","CHECK"))</f>
        <v/>
      </c>
      <c r="BJ20" s="16">
        <f>(COLUMNS($D20:$BG20)-COUNTBLANK($D20:$BG20))/COLUMNS($D20:$BG20)</f>
        <v/>
      </c>
    </row>
    <row r="21">
      <c r="BH21" s="15">
        <f>IF(OR(N(O21)=0,N(R21)=0),"",IF(ABS(O21+N(P21)+N(Q21)-R21)&lt;=1500,"ok","CHECK"))</f>
        <v/>
      </c>
      <c r="BI21" s="15">
        <f>IF(N(V21)=0,"",IF(ABS(N(W21)+N(X21)+N(Y21)+N(Z21)-V21)&lt;=1000,"ok","CHECK"))</f>
        <v/>
      </c>
      <c r="BJ21" s="16">
        <f>(COLUMNS($D21:$BG21)-COUNTBLANK($D21:$BG21))/COLUMNS($D21:$BG21)</f>
        <v/>
      </c>
    </row>
    <row r="22">
      <c r="BH22" s="15">
        <f>IF(OR(N(O22)=0,N(R22)=0),"",IF(ABS(O22+N(P22)+N(Q22)-R22)&lt;=1500,"ok","CHECK"))</f>
        <v/>
      </c>
      <c r="BI22" s="15">
        <f>IF(N(V22)=0,"",IF(ABS(N(W22)+N(X22)+N(Y22)+N(Z22)-V22)&lt;=1000,"ok","CHECK"))</f>
        <v/>
      </c>
      <c r="BJ22" s="16">
        <f>(COLUMNS($D22:$BG22)-COUNTBLANK($D22:$BG22))/COLUMNS($D22:$BG22)</f>
        <v/>
      </c>
    </row>
    <row r="23">
      <c r="BH23" s="15">
        <f>IF(OR(N(O23)=0,N(R23)=0),"",IF(ABS(O23+N(P23)+N(Q23)-R23)&lt;=1500,"ok","CHECK"))</f>
        <v/>
      </c>
      <c r="BI23" s="15">
        <f>IF(N(V23)=0,"",IF(ABS(N(W23)+N(X23)+N(Y23)+N(Z23)-V23)&lt;=1000,"ok","CHECK"))</f>
        <v/>
      </c>
      <c r="BJ23" s="16">
        <f>(COLUMNS($D23:$BG23)-COUNTBLANK($D23:$BG23))/COLUMNS($D23:$BG23)</f>
        <v/>
      </c>
    </row>
    <row r="24">
      <c r="BH24" s="15">
        <f>IF(OR(N(O24)=0,N(R24)=0),"",IF(ABS(O24+N(P24)+N(Q24)-R24)&lt;=1500,"ok","CHECK"))</f>
        <v/>
      </c>
      <c r="BI24" s="15">
        <f>IF(N(V24)=0,"",IF(ABS(N(W24)+N(X24)+N(Y24)+N(Z24)-V24)&lt;=1000,"ok","CHECK"))</f>
        <v/>
      </c>
      <c r="BJ24" s="16">
        <f>(COLUMNS($D24:$BG24)-COUNTBLANK($D24:$BG24))/COLUMNS($D24:$BG24)</f>
        <v/>
      </c>
    </row>
    <row r="25">
      <c r="BH25" s="15">
        <f>IF(OR(N(O25)=0,N(R25)=0),"",IF(ABS(O25+N(P25)+N(Q25)-R25)&lt;=1500,"ok","CHECK"))</f>
        <v/>
      </c>
      <c r="BI25" s="15">
        <f>IF(N(V25)=0,"",IF(ABS(N(W25)+N(X25)+N(Y25)+N(Z25)-V25)&lt;=1000,"ok","CHECK"))</f>
        <v/>
      </c>
      <c r="BJ25" s="16">
        <f>(COLUMNS($D25:$BG25)-COUNTBLANK($D25:$BG25))/COLUMNS($D25:$BG25)</f>
        <v/>
      </c>
    </row>
    <row r="26">
      <c r="BH26" s="15">
        <f>IF(OR(N(O26)=0,N(R26)=0),"",IF(ABS(O26+N(P26)+N(Q26)-R26)&lt;=1500,"ok","CHECK"))</f>
        <v/>
      </c>
      <c r="BI26" s="15">
        <f>IF(N(V26)=0,"",IF(ABS(N(W26)+N(X26)+N(Y26)+N(Z26)-V26)&lt;=1000,"ok","CHECK"))</f>
        <v/>
      </c>
      <c r="BJ26" s="16">
        <f>(COLUMNS($D26:$BG26)-COUNTBLANK($D26:$BG26))/COLUMNS($D26:$BG26)</f>
        <v/>
      </c>
    </row>
    <row r="27">
      <c r="BH27" s="15">
        <f>IF(OR(N(O27)=0,N(R27)=0),"",IF(ABS(O27+N(P27)+N(Q27)-R27)&lt;=1500,"ok","CHECK"))</f>
        <v/>
      </c>
      <c r="BI27" s="15">
        <f>IF(N(V27)=0,"",IF(ABS(N(W27)+N(X27)+N(Y27)+N(Z27)-V27)&lt;=1000,"ok","CHECK"))</f>
        <v/>
      </c>
      <c r="BJ27" s="16">
        <f>(COLUMNS($D27:$BG27)-COUNTBLANK($D27:$BG27))/COLUMNS($D27:$BG27)</f>
        <v/>
      </c>
    </row>
    <row r="28">
      <c r="BH28" s="15">
        <f>IF(OR(N(O28)=0,N(R28)=0),"",IF(ABS(O28+N(P28)+N(Q28)-R28)&lt;=1500,"ok","CHECK"))</f>
        <v/>
      </c>
      <c r="BI28" s="15">
        <f>IF(N(V28)=0,"",IF(ABS(N(W28)+N(X28)+N(Y28)+N(Z28)-V28)&lt;=1000,"ok","CHECK"))</f>
        <v/>
      </c>
      <c r="BJ28" s="16">
        <f>(COLUMNS($D28:$BG28)-COUNTBLANK($D28:$BG28))/COLUMNS($D28:$BG28)</f>
        <v/>
      </c>
    </row>
    <row r="29">
      <c r="BH29" s="15">
        <f>IF(OR(N(O29)=0,N(R29)=0),"",IF(ABS(O29+N(P29)+N(Q29)-R29)&lt;=1500,"ok","CHECK"))</f>
        <v/>
      </c>
      <c r="BI29" s="15">
        <f>IF(N(V29)=0,"",IF(ABS(N(W29)+N(X29)+N(Y29)+N(Z29)-V29)&lt;=1000,"ok","CHECK"))</f>
        <v/>
      </c>
      <c r="BJ29" s="16">
        <f>(COLUMNS($D29:$BG29)-COUNTBLANK($D29:$BG29))/COLUMNS($D29:$BG29)</f>
        <v/>
      </c>
    </row>
    <row r="30">
      <c r="BH30" s="15">
        <f>IF(OR(N(O30)=0,N(R30)=0),"",IF(ABS(O30+N(P30)+N(Q30)-R30)&lt;=1500,"ok","CHECK"))</f>
        <v/>
      </c>
      <c r="BI30" s="15">
        <f>IF(N(V30)=0,"",IF(ABS(N(W30)+N(X30)+N(Y30)+N(Z30)-V30)&lt;=1000,"ok","CHECK"))</f>
        <v/>
      </c>
      <c r="BJ30" s="16">
        <f>(COLUMNS($D30:$BG30)-COUNTBLANK($D30:$BG30))/COLUMNS($D30:$BG30)</f>
        <v/>
      </c>
    </row>
    <row r="31">
      <c r="BH31" s="15">
        <f>IF(OR(N(O31)=0,N(R31)=0),"",IF(ABS(O31+N(P31)+N(Q31)-R31)&lt;=1500,"ok","CHECK"))</f>
        <v/>
      </c>
      <c r="BI31" s="15">
        <f>IF(N(V31)=0,"",IF(ABS(N(W31)+N(X31)+N(Y31)+N(Z31)-V31)&lt;=1000,"ok","CHECK"))</f>
        <v/>
      </c>
      <c r="BJ31" s="16">
        <f>(COLUMNS($D31:$BG31)-COUNTBLANK($D31:$BG31))/COLUMNS($D31:$BG31)</f>
        <v/>
      </c>
    </row>
    <row r="32">
      <c r="BH32" s="15">
        <f>IF(OR(N(O32)=0,N(R32)=0),"",IF(ABS(O32+N(P32)+N(Q32)-R32)&lt;=1500,"ok","CHECK"))</f>
        <v/>
      </c>
      <c r="BI32" s="15">
        <f>IF(N(V32)=0,"",IF(ABS(N(W32)+N(X32)+N(Y32)+N(Z32)-V32)&lt;=1000,"ok","CHECK"))</f>
        <v/>
      </c>
      <c r="BJ32" s="16">
        <f>(COLUMNS($D32:$BG32)-COUNTBLANK($D32:$BG32))/COLUMNS($D32:$BG32)</f>
        <v/>
      </c>
    </row>
    <row r="33">
      <c r="BH33" s="15">
        <f>IF(OR(N(O33)=0,N(R33)=0),"",IF(ABS(O33+N(P33)+N(Q33)-R33)&lt;=1500,"ok","CHECK"))</f>
        <v/>
      </c>
      <c r="BI33" s="15">
        <f>IF(N(V33)=0,"",IF(ABS(N(W33)+N(X33)+N(Y33)+N(Z33)-V33)&lt;=1000,"ok","CHECK"))</f>
        <v/>
      </c>
      <c r="BJ33" s="16">
        <f>(COLUMNS($D33:$BG33)-COUNTBLANK($D33:$BG33))/COLUMNS($D33:$BG33)</f>
        <v/>
      </c>
    </row>
    <row r="34">
      <c r="BH34" s="15">
        <f>IF(OR(N(O34)=0,N(R34)=0),"",IF(ABS(O34+N(P34)+N(Q34)-R34)&lt;=1500,"ok","CHECK"))</f>
        <v/>
      </c>
      <c r="BI34" s="15">
        <f>IF(N(V34)=0,"",IF(ABS(N(W34)+N(X34)+N(Y34)+N(Z34)-V34)&lt;=1000,"ok","CHECK"))</f>
        <v/>
      </c>
      <c r="BJ34" s="16">
        <f>(COLUMNS($D34:$BG34)-COUNTBLANK($D34:$BG34))/COLUMNS($D34:$BG34)</f>
        <v/>
      </c>
    </row>
    <row r="35">
      <c r="BH35" s="15">
        <f>IF(OR(N(O35)=0,N(R35)=0),"",IF(ABS(O35+N(P35)+N(Q35)-R35)&lt;=1500,"ok","CHECK"))</f>
        <v/>
      </c>
      <c r="BI35" s="15">
        <f>IF(N(V35)=0,"",IF(ABS(N(W35)+N(X35)+N(Y35)+N(Z35)-V35)&lt;=1000,"ok","CHECK"))</f>
        <v/>
      </c>
      <c r="BJ35" s="16">
        <f>(COLUMNS($D35:$BG35)-COUNTBLANK($D35:$BG35))/COLUMNS($D35:$BG35)</f>
        <v/>
      </c>
    </row>
    <row r="36">
      <c r="BH36" s="15">
        <f>IF(OR(N(O36)=0,N(R36)=0),"",IF(ABS(O36+N(P36)+N(Q36)-R36)&lt;=1500,"ok","CHECK"))</f>
        <v/>
      </c>
      <c r="BI36" s="15">
        <f>IF(N(V36)=0,"",IF(ABS(N(W36)+N(X36)+N(Y36)+N(Z36)-V36)&lt;=1000,"ok","CHECK"))</f>
        <v/>
      </c>
      <c r="BJ36" s="16">
        <f>(COLUMNS($D36:$BG36)-COUNTBLANK($D36:$BG36))/COLUMNS($D36:$BG36)</f>
        <v/>
      </c>
    </row>
    <row r="37">
      <c r="BH37" s="15">
        <f>IF(OR(N(O37)=0,N(R37)=0),"",IF(ABS(O37+N(P37)+N(Q37)-R37)&lt;=1500,"ok","CHECK"))</f>
        <v/>
      </c>
      <c r="BI37" s="15">
        <f>IF(N(V37)=0,"",IF(ABS(N(W37)+N(X37)+N(Y37)+N(Z37)-V37)&lt;=1000,"ok","CHECK"))</f>
        <v/>
      </c>
      <c r="BJ37" s="16">
        <f>(COLUMNS($D37:$BG37)-COUNTBLANK($D37:$BG37))/COLUMNS($D37:$BG37)</f>
        <v/>
      </c>
    </row>
    <row r="38">
      <c r="BH38" s="15">
        <f>IF(OR(N(O38)=0,N(R38)=0),"",IF(ABS(O38+N(P38)+N(Q38)-R38)&lt;=1500,"ok","CHECK"))</f>
        <v/>
      </c>
      <c r="BI38" s="15">
        <f>IF(N(V38)=0,"",IF(ABS(N(W38)+N(X38)+N(Y38)+N(Z38)-V38)&lt;=1000,"ok","CHECK"))</f>
        <v/>
      </c>
      <c r="BJ38" s="16">
        <f>(COLUMNS($D38:$BG38)-COUNTBLANK($D38:$BG38))/COLUMNS($D38:$BG38)</f>
        <v/>
      </c>
    </row>
    <row r="39">
      <c r="BH39" s="15">
        <f>IF(OR(N(O39)=0,N(R39)=0),"",IF(ABS(O39+N(P39)+N(Q39)-R39)&lt;=1500,"ok","CHECK"))</f>
        <v/>
      </c>
      <c r="BI39" s="15">
        <f>IF(N(V39)=0,"",IF(ABS(N(W39)+N(X39)+N(Y39)+N(Z39)-V39)&lt;=1000,"ok","CHECK"))</f>
        <v/>
      </c>
      <c r="BJ39" s="16">
        <f>(COLUMNS($D39:$BG39)-COUNTBLANK($D39:$BG39))/COLUMNS($D39:$BG39)</f>
        <v/>
      </c>
    </row>
    <row r="40">
      <c r="BH40" s="15">
        <f>IF(OR(N(O40)=0,N(R40)=0),"",IF(ABS(O40+N(P40)+N(Q40)-R40)&lt;=1500,"ok","CHECK"))</f>
        <v/>
      </c>
      <c r="BI40" s="15">
        <f>IF(N(V40)=0,"",IF(ABS(N(W40)+N(X40)+N(Y40)+N(Z40)-V40)&lt;=1000,"ok","CHECK"))</f>
        <v/>
      </c>
      <c r="BJ40" s="16">
        <f>(COLUMNS($D40:$BG40)-COUNTBLANK($D40:$BG40))/COLUMNS($D40:$BG40)</f>
        <v/>
      </c>
    </row>
    <row r="41">
      <c r="BH41" s="15">
        <f>IF(OR(N(O41)=0,N(R41)=0),"",IF(ABS(O41+N(P41)+N(Q41)-R41)&lt;=1500,"ok","CHECK"))</f>
        <v/>
      </c>
      <c r="BI41" s="15">
        <f>IF(N(V41)=0,"",IF(ABS(N(W41)+N(X41)+N(Y41)+N(Z41)-V41)&lt;=1000,"ok","CHECK"))</f>
        <v/>
      </c>
      <c r="BJ41" s="16">
        <f>(COLUMNS($D41:$BG41)-COUNTBLANK($D41:$BG41))/COLUMNS($D41:$BG41)</f>
        <v/>
      </c>
    </row>
    <row r="42">
      <c r="BH42" s="15">
        <f>IF(OR(N(O42)=0,N(R42)=0),"",IF(ABS(O42+N(P42)+N(Q42)-R42)&lt;=1500,"ok","CHECK"))</f>
        <v/>
      </c>
      <c r="BI42" s="15">
        <f>IF(N(V42)=0,"",IF(ABS(N(W42)+N(X42)+N(Y42)+N(Z42)-V42)&lt;=1000,"ok","CHECK"))</f>
        <v/>
      </c>
      <c r="BJ42" s="16">
        <f>(COLUMNS($D42:$BG42)-COUNTBLANK($D42:$BG42))/COLUMNS($D42:$BG42)</f>
        <v/>
      </c>
    </row>
    <row r="43">
      <c r="BH43" s="15">
        <f>IF(OR(N(O43)=0,N(R43)=0),"",IF(ABS(O43+N(P43)+N(Q43)-R43)&lt;=1500,"ok","CHECK"))</f>
        <v/>
      </c>
      <c r="BI43" s="15">
        <f>IF(N(V43)=0,"",IF(ABS(N(W43)+N(X43)+N(Y43)+N(Z43)-V43)&lt;=1000,"ok","CHECK"))</f>
        <v/>
      </c>
      <c r="BJ43" s="16">
        <f>(COLUMNS($D43:$BG43)-COUNTBLANK($D43:$BG43))/COLUMNS($D43:$BG43)</f>
        <v/>
      </c>
    </row>
    <row r="44">
      <c r="BH44" s="15">
        <f>IF(OR(N(O44)=0,N(R44)=0),"",IF(ABS(O44+N(P44)+N(Q44)-R44)&lt;=1500,"ok","CHECK"))</f>
        <v/>
      </c>
      <c r="BI44" s="15">
        <f>IF(N(V44)=0,"",IF(ABS(N(W44)+N(X44)+N(Y44)+N(Z44)-V44)&lt;=1000,"ok","CHECK"))</f>
        <v/>
      </c>
      <c r="BJ44" s="16">
        <f>(COLUMNS($D44:$BG44)-COUNTBLANK($D44:$BG44))/COLUMNS($D44:$BG44)</f>
        <v/>
      </c>
    </row>
    <row r="45">
      <c r="BH45" s="15">
        <f>IF(OR(N(O45)=0,N(R45)=0),"",IF(ABS(O45+N(P45)+N(Q45)-R45)&lt;=1500,"ok","CHECK"))</f>
        <v/>
      </c>
      <c r="BI45" s="15">
        <f>IF(N(V45)=0,"",IF(ABS(N(W45)+N(X45)+N(Y45)+N(Z45)-V45)&lt;=1000,"ok","CHECK"))</f>
        <v/>
      </c>
      <c r="BJ45" s="16">
        <f>(COLUMNS($D45:$BG45)-COUNTBLANK($D45:$BG45))/COLUMNS($D45:$BG45)</f>
        <v/>
      </c>
    </row>
    <row r="46">
      <c r="BH46" s="15">
        <f>IF(OR(N(O46)=0,N(R46)=0),"",IF(ABS(O46+N(P46)+N(Q46)-R46)&lt;=1500,"ok","CHECK"))</f>
        <v/>
      </c>
      <c r="BI46" s="15">
        <f>IF(N(V46)=0,"",IF(ABS(N(W46)+N(X46)+N(Y46)+N(Z46)-V46)&lt;=1000,"ok","CHECK"))</f>
        <v/>
      </c>
      <c r="BJ46" s="16">
        <f>(COLUMNS($D46:$BG46)-COUNTBLANK($D46:$BG46))/COLUMNS($D46:$BG46)</f>
        <v/>
      </c>
    </row>
    <row r="47">
      <c r="BH47" s="15">
        <f>IF(OR(N(O47)=0,N(R47)=0),"",IF(ABS(O47+N(P47)+N(Q47)-R47)&lt;=1500,"ok","CHECK"))</f>
        <v/>
      </c>
      <c r="BI47" s="15">
        <f>IF(N(V47)=0,"",IF(ABS(N(W47)+N(X47)+N(Y47)+N(Z47)-V47)&lt;=1000,"ok","CHECK"))</f>
        <v/>
      </c>
      <c r="BJ47" s="16">
        <f>(COLUMNS($D47:$BG47)-COUNTBLANK($D47:$BG47))/COLUMNS($D47:$BG47)</f>
        <v/>
      </c>
    </row>
    <row r="48">
      <c r="BH48" s="15">
        <f>IF(OR(N(O48)=0,N(R48)=0),"",IF(ABS(O48+N(P48)+N(Q48)-R48)&lt;=1500,"ok","CHECK"))</f>
        <v/>
      </c>
      <c r="BI48" s="15">
        <f>IF(N(V48)=0,"",IF(ABS(N(W48)+N(X48)+N(Y48)+N(Z48)-V48)&lt;=1000,"ok","CHECK"))</f>
        <v/>
      </c>
      <c r="BJ48" s="16">
        <f>(COLUMNS($D48:$BG48)-COUNTBLANK($D48:$BG48))/COLUMNS($D48:$BG48)</f>
        <v/>
      </c>
    </row>
    <row r="49">
      <c r="BH49" s="15">
        <f>IF(OR(N(O49)=0,N(R49)=0),"",IF(ABS(O49+N(P49)+N(Q49)-R49)&lt;=1500,"ok","CHECK"))</f>
        <v/>
      </c>
      <c r="BI49" s="15">
        <f>IF(N(V49)=0,"",IF(ABS(N(W49)+N(X49)+N(Y49)+N(Z49)-V49)&lt;=1000,"ok","CHECK"))</f>
        <v/>
      </c>
      <c r="BJ49" s="16">
        <f>(COLUMNS($D49:$BG49)-COUNTBLANK($D49:$BG49))/COLUMNS($D49:$BG49)</f>
        <v/>
      </c>
    </row>
    <row r="50">
      <c r="BH50" s="15">
        <f>IF(OR(N(O50)=0,N(R50)=0),"",IF(ABS(O50+N(P50)+N(Q50)-R50)&lt;=1500,"ok","CHECK"))</f>
        <v/>
      </c>
      <c r="BI50" s="15">
        <f>IF(N(V50)=0,"",IF(ABS(N(W50)+N(X50)+N(Y50)+N(Z50)-V50)&lt;=1000,"ok","CHECK"))</f>
        <v/>
      </c>
      <c r="BJ50" s="16">
        <f>(COLUMNS($D50:$BG50)-COUNTBLANK($D50:$BG50))/COLUMNS($D50:$BG50)</f>
        <v/>
      </c>
    </row>
    <row r="51">
      <c r="BH51" s="15">
        <f>IF(OR(N(O51)=0,N(R51)=0),"",IF(ABS(O51+N(P51)+N(Q51)-R51)&lt;=1500,"ok","CHECK"))</f>
        <v/>
      </c>
      <c r="BI51" s="15">
        <f>IF(N(V51)=0,"",IF(ABS(N(W51)+N(X51)+N(Y51)+N(Z51)-V51)&lt;=1000,"ok","CHECK"))</f>
        <v/>
      </c>
      <c r="BJ51" s="16">
        <f>(COLUMNS($D51:$BG51)-COUNTBLANK($D51:$BG51))/COLUMNS($D51:$BG51)</f>
        <v/>
      </c>
    </row>
    <row r="52">
      <c r="BH52" s="15">
        <f>IF(OR(N(O52)=0,N(R52)=0),"",IF(ABS(O52+N(P52)+N(Q52)-R52)&lt;=1500,"ok","CHECK"))</f>
        <v/>
      </c>
      <c r="BI52" s="15">
        <f>IF(N(V52)=0,"",IF(ABS(N(W52)+N(X52)+N(Y52)+N(Z52)-V52)&lt;=1000,"ok","CHECK"))</f>
        <v/>
      </c>
      <c r="BJ52" s="16">
        <f>(COLUMNS($D52:$BG52)-COUNTBLANK($D52:$BG52))/COLUMNS($D52:$BG52)</f>
        <v/>
      </c>
    </row>
    <row r="53">
      <c r="BH53" s="15">
        <f>IF(OR(N(O53)=0,N(R53)=0),"",IF(ABS(O53+N(P53)+N(Q53)-R53)&lt;=1500,"ok","CHECK"))</f>
        <v/>
      </c>
      <c r="BI53" s="15">
        <f>IF(N(V53)=0,"",IF(ABS(N(W53)+N(X53)+N(Y53)+N(Z53)-V53)&lt;=1000,"ok","CHECK"))</f>
        <v/>
      </c>
      <c r="BJ53" s="16">
        <f>(COLUMNS($D53:$BG53)-COUNTBLANK($D53:$BG53))/COLUMNS($D53:$BG53)</f>
        <v/>
      </c>
    </row>
    <row r="54">
      <c r="BH54" s="15">
        <f>IF(OR(N(O54)=0,N(R54)=0),"",IF(ABS(O54+N(P54)+N(Q54)-R54)&lt;=1500,"ok","CHECK"))</f>
        <v/>
      </c>
      <c r="BI54" s="15">
        <f>IF(N(V54)=0,"",IF(ABS(N(W54)+N(X54)+N(Y54)+N(Z54)-V54)&lt;=1000,"ok","CHECK"))</f>
        <v/>
      </c>
      <c r="BJ54" s="16">
        <f>(COLUMNS($D54:$BG54)-COUNTBLANK($D54:$BG54))/COLUMNS($D54:$BG54)</f>
        <v/>
      </c>
    </row>
    <row r="55">
      <c r="BH55" s="15">
        <f>IF(OR(N(O55)=0,N(R55)=0),"",IF(ABS(O55+N(P55)+N(Q55)-R55)&lt;=1500,"ok","CHECK"))</f>
        <v/>
      </c>
      <c r="BI55" s="15">
        <f>IF(N(V55)=0,"",IF(ABS(N(W55)+N(X55)+N(Y55)+N(Z55)-V55)&lt;=1000,"ok","CHECK"))</f>
        <v/>
      </c>
      <c r="BJ55" s="16">
        <f>(COLUMNS($D55:$BG55)-COUNTBLANK($D55:$BG55))/COLUMNS($D55:$BG55)</f>
        <v/>
      </c>
    </row>
    <row r="56">
      <c r="BH56" s="15">
        <f>IF(OR(N(O56)=0,N(R56)=0),"",IF(ABS(O56+N(P56)+N(Q56)-R56)&lt;=1500,"ok","CHECK"))</f>
        <v/>
      </c>
      <c r="BI56" s="15">
        <f>IF(N(V56)=0,"",IF(ABS(N(W56)+N(X56)+N(Y56)+N(Z56)-V56)&lt;=1000,"ok","CHECK"))</f>
        <v/>
      </c>
      <c r="BJ56" s="16">
        <f>(COLUMNS($D56:$BG56)-COUNTBLANK($D56:$BG56))/COLUMNS($D56:$BG56)</f>
        <v/>
      </c>
    </row>
    <row r="57">
      <c r="BH57" s="15">
        <f>IF(OR(N(O57)=0,N(R57)=0),"",IF(ABS(O57+N(P57)+N(Q57)-R57)&lt;=1500,"ok","CHECK"))</f>
        <v/>
      </c>
      <c r="BI57" s="15">
        <f>IF(N(V57)=0,"",IF(ABS(N(W57)+N(X57)+N(Y57)+N(Z57)-V57)&lt;=1000,"ok","CHECK"))</f>
        <v/>
      </c>
      <c r="BJ57" s="16">
        <f>(COLUMNS($D57:$BG57)-COUNTBLANK($D57:$BG57))/COLUMNS($D57:$BG57)</f>
        <v/>
      </c>
    </row>
    <row r="58">
      <c r="BH58" s="15">
        <f>IF(OR(N(O58)=0,N(R58)=0),"",IF(ABS(O58+N(P58)+N(Q58)-R58)&lt;=1500,"ok","CHECK"))</f>
        <v/>
      </c>
      <c r="BI58" s="15">
        <f>IF(N(V58)=0,"",IF(ABS(N(W58)+N(X58)+N(Y58)+N(Z58)-V58)&lt;=1000,"ok","CHECK"))</f>
        <v/>
      </c>
      <c r="BJ58" s="16">
        <f>(COLUMNS($D58:$BG58)-COUNTBLANK($D58:$BG58))/COLUMNS($D58:$BG58)</f>
        <v/>
      </c>
    </row>
    <row r="59">
      <c r="BH59" s="15">
        <f>IF(OR(N(O59)=0,N(R59)=0),"",IF(ABS(O59+N(P59)+N(Q59)-R59)&lt;=1500,"ok","CHECK"))</f>
        <v/>
      </c>
      <c r="BI59" s="15">
        <f>IF(N(V59)=0,"",IF(ABS(N(W59)+N(X59)+N(Y59)+N(Z59)-V59)&lt;=1000,"ok","CHECK"))</f>
        <v/>
      </c>
      <c r="BJ59" s="16">
        <f>(COLUMNS($D59:$BG59)-COUNTBLANK($D59:$BG59))/COLUMNS($D59:$BG59)</f>
        <v/>
      </c>
    </row>
    <row r="60">
      <c r="BH60" s="15">
        <f>IF(OR(N(O60)=0,N(R60)=0),"",IF(ABS(O60+N(P60)+N(Q60)-R60)&lt;=1500,"ok","CHECK"))</f>
        <v/>
      </c>
      <c r="BI60" s="15">
        <f>IF(N(V60)=0,"",IF(ABS(N(W60)+N(X60)+N(Y60)+N(Z60)-V60)&lt;=1000,"ok","CHECK"))</f>
        <v/>
      </c>
      <c r="BJ60" s="16">
        <f>(COLUMNS($D60:$BG60)-COUNTBLANK($D60:$BG60))/COLUMNS($D60:$BG60)</f>
        <v/>
      </c>
    </row>
    <row r="61">
      <c r="BH61" s="15">
        <f>IF(OR(N(O61)=0,N(R61)=0),"",IF(ABS(O61+N(P61)+N(Q61)-R61)&lt;=1500,"ok","CHECK"))</f>
        <v/>
      </c>
      <c r="BI61" s="15">
        <f>IF(N(V61)=0,"",IF(ABS(N(W61)+N(X61)+N(Y61)+N(Z61)-V61)&lt;=1000,"ok","CHECK"))</f>
        <v/>
      </c>
      <c r="BJ61" s="16">
        <f>(COLUMNS($D61:$BG61)-COUNTBLANK($D61:$BG61))/COLUMNS($D61:$BG61)</f>
        <v/>
      </c>
    </row>
    <row r="62">
      <c r="BH62" s="15">
        <f>IF(OR(N(O62)=0,N(R62)=0),"",IF(ABS(O62+N(P62)+N(Q62)-R62)&lt;=1500,"ok","CHECK"))</f>
        <v/>
      </c>
      <c r="BI62" s="15">
        <f>IF(N(V62)=0,"",IF(ABS(N(W62)+N(X62)+N(Y62)+N(Z62)-V62)&lt;=1000,"ok","CHECK"))</f>
        <v/>
      </c>
      <c r="BJ62" s="16">
        <f>(COLUMNS($D62:$BG62)-COUNTBLANK($D62:$BG62))/COLUMNS($D62:$BG62)</f>
        <v/>
      </c>
    </row>
  </sheetData>
  <dataValidations count="7">
    <dataValidation sqref="A3:A62" showDropDown="0" showInputMessage="0" showErrorMessage="0" allowBlank="1" type="list">
      <formula1>"not started,in progress,done"</formula1>
    </dataValidation>
    <dataValidation sqref="AI3:AI62" showDropDown="0" showInputMessage="0" showErrorMessage="0" allowBlank="1" type="list">
      <formula1>"required,optional,blind,not_reported"</formula1>
    </dataValidation>
    <dataValidation sqref="AK3:AK62" showDropDown="0" showInputMessage="0" showErrorMessage="0" allowBlank="1" type="list">
      <formula1>"admission_minimum,indicative,not_reported"</formula1>
    </dataValidation>
    <dataValidation sqref="AM3:AM62" showDropDown="0" showInputMessage="0" showErrorMessage="0" allowBlank="1" type="list">
      <formula1>"admission_minimum,indicative,not_reported"</formula1>
    </dataValidation>
    <dataValidation sqref="AO3:AO62" showDropDown="0" showInputMessage="0" showErrorMessage="0" allowBlank="1" type="list">
      <formula1>"admission_minimum,indicative,none,not_reported"</formula1>
    </dataValidation>
    <dataValidation sqref="AD3:AD62" showDropDown="0" showInputMessage="0" showErrorMessage="0" allowBlank="1" type="list">
      <formula1>"yes,no,not_reported"</formula1>
    </dataValidation>
    <dataValidation sqref="AY3:AY62" showDropDown="0" showInputMessage="0" showErrorMessage="0" allowBlank="1" type="list">
      <formula1>"yes,no,not_reported"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10" min="1" max="1"/>
    <col width="17" customWidth="1" style="10" min="2" max="2"/>
    <col width="28" customWidth="1" style="10" min="3" max="3"/>
    <col width="30" customWidth="1" style="10" min="4" max="4"/>
    <col width="17" customWidth="1" style="10" min="5" max="5"/>
    <col width="28" customWidth="1" style="10" min="6" max="6"/>
    <col width="17" customWidth="1" style="10" min="7" max="7"/>
    <col width="17" customWidth="1" style="10" min="8" max="8"/>
    <col width="18" customWidth="1" style="10" min="9" max="9"/>
    <col width="17" customWidth="1" style="10" min="10" max="10"/>
    <col width="17" customWidth="1" style="10" min="11" max="11"/>
    <col width="26" customWidth="1" style="10" min="12" max="12"/>
    <col width="17" customWidth="1" style="10" min="13" max="13"/>
    <col width="17" customWidth="1" style="10" min="14" max="14"/>
    <col width="26" customWidth="1" style="10" min="15" max="15"/>
    <col width="17" customWidth="1" style="10" min="16" max="16"/>
    <col width="17" customWidth="1" style="10" min="17" max="17"/>
    <col width="26" customWidth="1" style="10" min="18" max="18"/>
    <col width="34" customWidth="1" style="11" min="19" max="19"/>
    <col width="17" customWidth="1" style="11" min="20" max="20"/>
    <col width="30" customWidth="1" style="10" min="21" max="21"/>
    <col width="18" customWidth="1" min="22" max="22"/>
  </cols>
  <sheetData>
    <row r="1" ht="42" customHeight="1">
      <c r="A1" s="12" t="inlineStr">
        <is>
          <t>status</t>
        </is>
      </c>
      <c r="B1" s="12" t="inlineStr">
        <is>
          <t>unitid</t>
        </is>
      </c>
      <c r="C1" s="12" t="inlineStr">
        <is>
          <t>university_name</t>
        </is>
      </c>
      <c r="D1" s="12" t="inlineStr">
        <is>
          <t>scholarship_name</t>
        </is>
      </c>
      <c r="E1" s="12" t="inlineStr">
        <is>
          <t>open_to_international</t>
        </is>
      </c>
      <c r="F1" s="12" t="inlineStr">
        <is>
          <t>amount_value</t>
        </is>
      </c>
      <c r="G1" s="12" t="inlineStr">
        <is>
          <t>amount_numeric</t>
        </is>
      </c>
      <c r="H1" s="12" t="inlineStr">
        <is>
          <t>currency</t>
        </is>
      </c>
      <c r="I1" s="12" t="inlineStr">
        <is>
          <t>amount_period</t>
        </is>
      </c>
      <c r="J1" s="12" t="inlineStr">
        <is>
          <t>condition_1_kind</t>
        </is>
      </c>
      <c r="K1" s="12" t="inlineStr">
        <is>
          <t>condition_1_minimum</t>
        </is>
      </c>
      <c r="L1" s="12" t="inlineStr">
        <is>
          <t>condition_1_text</t>
        </is>
      </c>
      <c r="M1" s="12" t="inlineStr">
        <is>
          <t>condition_2_kind</t>
        </is>
      </c>
      <c r="N1" s="12" t="inlineStr">
        <is>
          <t>condition_2_minimum</t>
        </is>
      </c>
      <c r="O1" s="12" t="inlineStr">
        <is>
          <t>condition_2_text</t>
        </is>
      </c>
      <c r="P1" s="12" t="inlineStr">
        <is>
          <t>condition_3_kind</t>
        </is>
      </c>
      <c r="Q1" s="12" t="inlineStr">
        <is>
          <t>condition_3_minimum</t>
        </is>
      </c>
      <c r="R1" s="12" t="inlineStr">
        <is>
          <t>condition_3_text</t>
        </is>
      </c>
      <c r="S1" s="12" t="inlineStr">
        <is>
          <t>schol_source_url</t>
        </is>
      </c>
      <c r="T1" s="12" t="inlineStr">
        <is>
          <t>schol_retrieved_on</t>
        </is>
      </c>
      <c r="U1" s="12" t="inlineStr">
        <is>
          <t>notes</t>
        </is>
      </c>
      <c r="V1" s="13" t="inlineStr">
        <is>
          <t>pct_complete</t>
        </is>
      </c>
    </row>
    <row r="2">
      <c r="A2" s="14" t="inlineStr">
        <is>
          <t>done</t>
        </is>
      </c>
      <c r="B2" s="14" t="inlineStr">
        <is>
          <t>999999</t>
        </is>
      </c>
      <c r="C2" s="14" t="inlineStr">
        <is>
          <t>EXAMPLE ROW - do not copy</t>
        </is>
      </c>
      <c r="D2" s="14" t="inlineStr">
        <is>
          <t>Example Merit Award</t>
        </is>
      </c>
      <c r="E2" s="14" t="inlineStr">
        <is>
          <t>yes</t>
        </is>
      </c>
      <c r="F2" s="14" t="inlineStr">
        <is>
          <t>Up to 20,000 USD per year</t>
        </is>
      </c>
      <c r="G2" s="14" t="inlineStr">
        <is>
          <t>20000</t>
        </is>
      </c>
      <c r="H2" s="14" t="inlineStr">
        <is>
          <t>USD</t>
        </is>
      </c>
      <c r="I2" s="14" t="inlineStr">
        <is>
          <t>per year</t>
        </is>
      </c>
      <c r="J2" s="14" t="inlineStr">
        <is>
          <t>sat</t>
        </is>
      </c>
      <c r="K2" s="14" t="inlineStr">
        <is>
          <t>1450</t>
        </is>
      </c>
      <c r="L2" s="14" t="inlineStr">
        <is>
          <t>SAT 1450 or higher</t>
        </is>
      </c>
      <c r="M2" s="14" t="inlineStr">
        <is>
          <t>gpa</t>
        </is>
      </c>
      <c r="N2" s="14" t="inlineStr">
        <is>
          <t>3.5</t>
        </is>
      </c>
      <c r="O2" s="14" t="inlineStr">
        <is>
          <t>Minimum 3.5 GPA</t>
        </is>
      </c>
      <c r="P2" s="14" t="n"/>
      <c r="Q2" s="14" t="n"/>
      <c r="R2" s="14" t="n"/>
      <c r="S2" s="14" t="inlineStr">
        <is>
          <t>https://example.edu/aid/example-merit-award</t>
        </is>
      </c>
      <c r="T2" s="14" t="inlineStr">
        <is>
          <t>2026-10-10</t>
        </is>
      </c>
      <c r="U2" s="14" t="inlineStr">
        <is>
          <t>Nothing unusual</t>
        </is>
      </c>
      <c r="V2" s="16">
        <f>(COLUMNS($D2:$U2)-COUNTBLANK($D2:$U2))/COLUMNS($D2:$U2)</f>
        <v/>
      </c>
    </row>
    <row r="3">
      <c r="V3" s="16">
        <f>(COLUMNS($D3:$U3)-COUNTBLANK($D3:$U3))/COLUMNS($D3:$U3)</f>
        <v/>
      </c>
    </row>
    <row r="4">
      <c r="V4" s="16">
        <f>(COLUMNS($D4:$U4)-COUNTBLANK($D4:$U4))/COLUMNS($D4:$U4)</f>
        <v/>
      </c>
    </row>
    <row r="5">
      <c r="V5" s="16">
        <f>(COLUMNS($D5:$U5)-COUNTBLANK($D5:$U5))/COLUMNS($D5:$U5)</f>
        <v/>
      </c>
    </row>
    <row r="6">
      <c r="V6" s="16">
        <f>(COLUMNS($D6:$U6)-COUNTBLANK($D6:$U6))/COLUMNS($D6:$U6)</f>
        <v/>
      </c>
    </row>
    <row r="7">
      <c r="V7" s="16">
        <f>(COLUMNS($D7:$U7)-COUNTBLANK($D7:$U7))/COLUMNS($D7:$U7)</f>
        <v/>
      </c>
    </row>
    <row r="8">
      <c r="V8" s="16">
        <f>(COLUMNS($D8:$U8)-COUNTBLANK($D8:$U8))/COLUMNS($D8:$U8)</f>
        <v/>
      </c>
    </row>
    <row r="9">
      <c r="V9" s="16">
        <f>(COLUMNS($D9:$U9)-COUNTBLANK($D9:$U9))/COLUMNS($D9:$U9)</f>
        <v/>
      </c>
    </row>
    <row r="10">
      <c r="V10" s="16">
        <f>(COLUMNS($D10:$U10)-COUNTBLANK($D10:$U10))/COLUMNS($D10:$U10)</f>
        <v/>
      </c>
    </row>
    <row r="11">
      <c r="V11" s="16">
        <f>(COLUMNS($D11:$U11)-COUNTBLANK($D11:$U11))/COLUMNS($D11:$U11)</f>
        <v/>
      </c>
    </row>
    <row r="12">
      <c r="V12" s="16">
        <f>(COLUMNS($D12:$U12)-COUNTBLANK($D12:$U12))/COLUMNS($D12:$U12)</f>
        <v/>
      </c>
    </row>
    <row r="13">
      <c r="V13" s="16">
        <f>(COLUMNS($D13:$U13)-COUNTBLANK($D13:$U13))/COLUMNS($D13:$U13)</f>
        <v/>
      </c>
    </row>
    <row r="14">
      <c r="V14" s="16">
        <f>(COLUMNS($D14:$U14)-COUNTBLANK($D14:$U14))/COLUMNS($D14:$U14)</f>
        <v/>
      </c>
    </row>
    <row r="15">
      <c r="V15" s="16">
        <f>(COLUMNS($D15:$U15)-COUNTBLANK($D15:$U15))/COLUMNS($D15:$U15)</f>
        <v/>
      </c>
    </row>
    <row r="16">
      <c r="V16" s="16">
        <f>(COLUMNS($D16:$U16)-COUNTBLANK($D16:$U16))/COLUMNS($D16:$U16)</f>
        <v/>
      </c>
    </row>
    <row r="17">
      <c r="V17" s="16">
        <f>(COLUMNS($D17:$U17)-COUNTBLANK($D17:$U17))/COLUMNS($D17:$U17)</f>
        <v/>
      </c>
    </row>
    <row r="18">
      <c r="V18" s="16">
        <f>(COLUMNS($D18:$U18)-COUNTBLANK($D18:$U18))/COLUMNS($D18:$U18)</f>
        <v/>
      </c>
    </row>
    <row r="19">
      <c r="V19" s="16">
        <f>(COLUMNS($D19:$U19)-COUNTBLANK($D19:$U19))/COLUMNS($D19:$U19)</f>
        <v/>
      </c>
    </row>
    <row r="20">
      <c r="V20" s="16">
        <f>(COLUMNS($D20:$U20)-COUNTBLANK($D20:$U20))/COLUMNS($D20:$U20)</f>
        <v/>
      </c>
    </row>
    <row r="21">
      <c r="V21" s="16">
        <f>(COLUMNS($D21:$U21)-COUNTBLANK($D21:$U21))/COLUMNS($D21:$U21)</f>
        <v/>
      </c>
    </row>
    <row r="22">
      <c r="V22" s="16">
        <f>(COLUMNS($D22:$U22)-COUNTBLANK($D22:$U22))/COLUMNS($D22:$U22)</f>
        <v/>
      </c>
    </row>
    <row r="23">
      <c r="V23" s="16">
        <f>(COLUMNS($D23:$U23)-COUNTBLANK($D23:$U23))/COLUMNS($D23:$U23)</f>
        <v/>
      </c>
    </row>
    <row r="24">
      <c r="V24" s="16">
        <f>(COLUMNS($D24:$U24)-COUNTBLANK($D24:$U24))/COLUMNS($D24:$U24)</f>
        <v/>
      </c>
    </row>
    <row r="25">
      <c r="V25" s="16">
        <f>(COLUMNS($D25:$U25)-COUNTBLANK($D25:$U25))/COLUMNS($D25:$U25)</f>
        <v/>
      </c>
    </row>
    <row r="26">
      <c r="V26" s="16">
        <f>(COLUMNS($D26:$U26)-COUNTBLANK($D26:$U26))/COLUMNS($D26:$U26)</f>
        <v/>
      </c>
    </row>
    <row r="27">
      <c r="V27" s="16">
        <f>(COLUMNS($D27:$U27)-COUNTBLANK($D27:$U27))/COLUMNS($D27:$U27)</f>
        <v/>
      </c>
    </row>
    <row r="28">
      <c r="V28" s="16">
        <f>(COLUMNS($D28:$U28)-COUNTBLANK($D28:$U28))/COLUMNS($D28:$U28)</f>
        <v/>
      </c>
    </row>
    <row r="29">
      <c r="V29" s="16">
        <f>(COLUMNS($D29:$U29)-COUNTBLANK($D29:$U29))/COLUMNS($D29:$U29)</f>
        <v/>
      </c>
    </row>
    <row r="30">
      <c r="V30" s="16">
        <f>(COLUMNS($D30:$U30)-COUNTBLANK($D30:$U30))/COLUMNS($D30:$U30)</f>
        <v/>
      </c>
    </row>
    <row r="31">
      <c r="V31" s="16">
        <f>(COLUMNS($D31:$U31)-COUNTBLANK($D31:$U31))/COLUMNS($D31:$U31)</f>
        <v/>
      </c>
    </row>
    <row r="32">
      <c r="V32" s="16">
        <f>(COLUMNS($D32:$U32)-COUNTBLANK($D32:$U32))/COLUMNS($D32:$U32)</f>
        <v/>
      </c>
    </row>
    <row r="33">
      <c r="V33" s="16">
        <f>(COLUMNS($D33:$U33)-COUNTBLANK($D33:$U33))/COLUMNS($D33:$U33)</f>
        <v/>
      </c>
    </row>
    <row r="34">
      <c r="V34" s="16">
        <f>(COLUMNS($D34:$U34)-COUNTBLANK($D34:$U34))/COLUMNS($D34:$U34)</f>
        <v/>
      </c>
    </row>
    <row r="35">
      <c r="V35" s="16">
        <f>(COLUMNS($D35:$U35)-COUNTBLANK($D35:$U35))/COLUMNS($D35:$U35)</f>
        <v/>
      </c>
    </row>
    <row r="36">
      <c r="V36" s="16">
        <f>(COLUMNS($D36:$U36)-COUNTBLANK($D36:$U36))/COLUMNS($D36:$U36)</f>
        <v/>
      </c>
    </row>
    <row r="37">
      <c r="V37" s="16">
        <f>(COLUMNS($D37:$U37)-COUNTBLANK($D37:$U37))/COLUMNS($D37:$U37)</f>
        <v/>
      </c>
    </row>
    <row r="38">
      <c r="V38" s="16">
        <f>(COLUMNS($D38:$U38)-COUNTBLANK($D38:$U38))/COLUMNS($D38:$U38)</f>
        <v/>
      </c>
    </row>
    <row r="39">
      <c r="V39" s="16">
        <f>(COLUMNS($D39:$U39)-COUNTBLANK($D39:$U39))/COLUMNS($D39:$U39)</f>
        <v/>
      </c>
    </row>
    <row r="40">
      <c r="V40" s="16">
        <f>(COLUMNS($D40:$U40)-COUNTBLANK($D40:$U40))/COLUMNS($D40:$U40)</f>
        <v/>
      </c>
    </row>
    <row r="41">
      <c r="V41" s="16">
        <f>(COLUMNS($D41:$U41)-COUNTBLANK($D41:$U41))/COLUMNS($D41:$U41)</f>
        <v/>
      </c>
    </row>
    <row r="42">
      <c r="V42" s="16">
        <f>(COLUMNS($D42:$U42)-COUNTBLANK($D42:$U42))/COLUMNS($D42:$U42)</f>
        <v/>
      </c>
    </row>
    <row r="43">
      <c r="V43" s="16">
        <f>(COLUMNS($D43:$U43)-COUNTBLANK($D43:$U43))/COLUMNS($D43:$U43)</f>
        <v/>
      </c>
    </row>
    <row r="44">
      <c r="V44" s="16">
        <f>(COLUMNS($D44:$U44)-COUNTBLANK($D44:$U44))/COLUMNS($D44:$U44)</f>
        <v/>
      </c>
    </row>
    <row r="45">
      <c r="V45" s="16">
        <f>(COLUMNS($D45:$U45)-COUNTBLANK($D45:$U45))/COLUMNS($D45:$U45)</f>
        <v/>
      </c>
    </row>
    <row r="46">
      <c r="V46" s="16">
        <f>(COLUMNS($D46:$U46)-COUNTBLANK($D46:$U46))/COLUMNS($D46:$U46)</f>
        <v/>
      </c>
    </row>
    <row r="47">
      <c r="V47" s="16">
        <f>(COLUMNS($D47:$U47)-COUNTBLANK($D47:$U47))/COLUMNS($D47:$U47)</f>
        <v/>
      </c>
    </row>
    <row r="48">
      <c r="V48" s="16">
        <f>(COLUMNS($D48:$U48)-COUNTBLANK($D48:$U48))/COLUMNS($D48:$U48)</f>
        <v/>
      </c>
    </row>
    <row r="49">
      <c r="V49" s="16">
        <f>(COLUMNS($D49:$U49)-COUNTBLANK($D49:$U49))/COLUMNS($D49:$U49)</f>
        <v/>
      </c>
    </row>
    <row r="50">
      <c r="V50" s="16">
        <f>(COLUMNS($D50:$U50)-COUNTBLANK($D50:$U50))/COLUMNS($D50:$U50)</f>
        <v/>
      </c>
    </row>
    <row r="51">
      <c r="V51" s="16">
        <f>(COLUMNS($D51:$U51)-COUNTBLANK($D51:$U51))/COLUMNS($D51:$U51)</f>
        <v/>
      </c>
    </row>
    <row r="52">
      <c r="V52" s="16">
        <f>(COLUMNS($D52:$U52)-COUNTBLANK($D52:$U52))/COLUMNS($D52:$U52)</f>
        <v/>
      </c>
    </row>
    <row r="53">
      <c r="V53" s="16">
        <f>(COLUMNS($D53:$U53)-COUNTBLANK($D53:$U53))/COLUMNS($D53:$U53)</f>
        <v/>
      </c>
    </row>
    <row r="54">
      <c r="V54" s="16">
        <f>(COLUMNS($D54:$U54)-COUNTBLANK($D54:$U54))/COLUMNS($D54:$U54)</f>
        <v/>
      </c>
    </row>
    <row r="55">
      <c r="V55" s="16">
        <f>(COLUMNS($D55:$U55)-COUNTBLANK($D55:$U55))/COLUMNS($D55:$U55)</f>
        <v/>
      </c>
    </row>
    <row r="56">
      <c r="V56" s="16">
        <f>(COLUMNS($D56:$U56)-COUNTBLANK($D56:$U56))/COLUMNS($D56:$U56)</f>
        <v/>
      </c>
    </row>
    <row r="57">
      <c r="V57" s="16">
        <f>(COLUMNS($D57:$U57)-COUNTBLANK($D57:$U57))/COLUMNS($D57:$U57)</f>
        <v/>
      </c>
    </row>
    <row r="58">
      <c r="V58" s="16">
        <f>(COLUMNS($D58:$U58)-COUNTBLANK($D58:$U58))/COLUMNS($D58:$U58)</f>
        <v/>
      </c>
    </row>
    <row r="59">
      <c r="V59" s="16">
        <f>(COLUMNS($D59:$U59)-COUNTBLANK($D59:$U59))/COLUMNS($D59:$U59)</f>
        <v/>
      </c>
    </row>
    <row r="60">
      <c r="V60" s="16">
        <f>(COLUMNS($D60:$U60)-COUNTBLANK($D60:$U60))/COLUMNS($D60:$U60)</f>
        <v/>
      </c>
    </row>
    <row r="61">
      <c r="V61" s="16">
        <f>(COLUMNS($D61:$U61)-COUNTBLANK($D61:$U61))/COLUMNS($D61:$U61)</f>
        <v/>
      </c>
    </row>
    <row r="62">
      <c r="V62" s="16">
        <f>(COLUMNS($D62:$U62)-COUNTBLANK($D62:$U62))/COLUMNS($D62:$U62)</f>
        <v/>
      </c>
    </row>
    <row r="63">
      <c r="V63" s="16">
        <f>(COLUMNS($D63:$U63)-COUNTBLANK($D63:$U63))/COLUMNS($D63:$U63)</f>
        <v/>
      </c>
    </row>
    <row r="64">
      <c r="V64" s="16">
        <f>(COLUMNS($D64:$U64)-COUNTBLANK($D64:$U64))/COLUMNS($D64:$U64)</f>
        <v/>
      </c>
    </row>
    <row r="65">
      <c r="V65" s="16">
        <f>(COLUMNS($D65:$U65)-COUNTBLANK($D65:$U65))/COLUMNS($D65:$U65)</f>
        <v/>
      </c>
    </row>
    <row r="66">
      <c r="V66" s="16">
        <f>(COLUMNS($D66:$U66)-COUNTBLANK($D66:$U66))/COLUMNS($D66:$U66)</f>
        <v/>
      </c>
    </row>
    <row r="67">
      <c r="V67" s="16">
        <f>(COLUMNS($D67:$U67)-COUNTBLANK($D67:$U67))/COLUMNS($D67:$U67)</f>
        <v/>
      </c>
    </row>
    <row r="68">
      <c r="V68" s="16">
        <f>(COLUMNS($D68:$U68)-COUNTBLANK($D68:$U68))/COLUMNS($D68:$U68)</f>
        <v/>
      </c>
    </row>
    <row r="69">
      <c r="V69" s="16">
        <f>(COLUMNS($D69:$U69)-COUNTBLANK($D69:$U69))/COLUMNS($D69:$U69)</f>
        <v/>
      </c>
    </row>
    <row r="70">
      <c r="V70" s="16">
        <f>(COLUMNS($D70:$U70)-COUNTBLANK($D70:$U70))/COLUMNS($D70:$U70)</f>
        <v/>
      </c>
    </row>
    <row r="71">
      <c r="V71" s="16">
        <f>(COLUMNS($D71:$U71)-COUNTBLANK($D71:$U71))/COLUMNS($D71:$U71)</f>
        <v/>
      </c>
    </row>
    <row r="72">
      <c r="V72" s="16">
        <f>(COLUMNS($D72:$U72)-COUNTBLANK($D72:$U72))/COLUMNS($D72:$U72)</f>
        <v/>
      </c>
    </row>
    <row r="73">
      <c r="V73" s="16">
        <f>(COLUMNS($D73:$U73)-COUNTBLANK($D73:$U73))/COLUMNS($D73:$U73)</f>
        <v/>
      </c>
    </row>
    <row r="74">
      <c r="V74" s="16">
        <f>(COLUMNS($D74:$U74)-COUNTBLANK($D74:$U74))/COLUMNS($D74:$U74)</f>
        <v/>
      </c>
    </row>
    <row r="75">
      <c r="V75" s="16">
        <f>(COLUMNS($D75:$U75)-COUNTBLANK($D75:$U75))/COLUMNS($D75:$U75)</f>
        <v/>
      </c>
    </row>
    <row r="76">
      <c r="V76" s="16">
        <f>(COLUMNS($D76:$U76)-COUNTBLANK($D76:$U76))/COLUMNS($D76:$U76)</f>
        <v/>
      </c>
    </row>
    <row r="77">
      <c r="V77" s="16">
        <f>(COLUMNS($D77:$U77)-COUNTBLANK($D77:$U77))/COLUMNS($D77:$U77)</f>
        <v/>
      </c>
    </row>
    <row r="78">
      <c r="V78" s="16">
        <f>(COLUMNS($D78:$U78)-COUNTBLANK($D78:$U78))/COLUMNS($D78:$U78)</f>
        <v/>
      </c>
    </row>
    <row r="79">
      <c r="V79" s="16">
        <f>(COLUMNS($D79:$U79)-COUNTBLANK($D79:$U79))/COLUMNS($D79:$U79)</f>
        <v/>
      </c>
    </row>
    <row r="80">
      <c r="V80" s="16">
        <f>(COLUMNS($D80:$U80)-COUNTBLANK($D80:$U80))/COLUMNS($D80:$U80)</f>
        <v/>
      </c>
    </row>
    <row r="81">
      <c r="V81" s="16">
        <f>(COLUMNS($D81:$U81)-COUNTBLANK($D81:$U81))/COLUMNS($D81:$U81)</f>
        <v/>
      </c>
    </row>
    <row r="82">
      <c r="V82" s="16">
        <f>(COLUMNS($D82:$U82)-COUNTBLANK($D82:$U82))/COLUMNS($D82:$U82)</f>
        <v/>
      </c>
    </row>
  </sheetData>
  <dataValidations count="6">
    <dataValidation sqref="A3:A82" showDropDown="0" showInputMessage="0" showErrorMessage="0" allowBlank="1" type="list">
      <formula1>"not started,in progress,done"</formula1>
    </dataValidation>
    <dataValidation sqref="E3:E82" showDropDown="0" showInputMessage="0" showErrorMessage="0" allowBlank="1" type="list">
      <formula1>"yes,no,not_reported"</formula1>
    </dataValidation>
    <dataValidation sqref="I3:I82" showDropDown="0" showInputMessage="0" showErrorMessage="0" allowBlank="1" type="list">
      <formula1>"per year,one time,whole degree,not_reported"</formula1>
    </dataValidation>
    <dataValidation sqref="J3:J82" showDropDown="0" showInputMessage="0" showErrorMessage="0" allowBlank="1" type="list">
      <formula1>"sat,act,gpa,toefl,ielts,duolingo"</formula1>
    </dataValidation>
    <dataValidation sqref="M3:M82" showDropDown="0" showInputMessage="0" showErrorMessage="0" allowBlank="1" type="list">
      <formula1>"sat,act,gpa,toefl,ielts,duolingo"</formula1>
    </dataValidation>
    <dataValidation sqref="P3:P82" showDropDown="0" showInputMessage="0" showErrorMessage="0" allowBlank="1" type="list">
      <formula1>"sat,act,gpa,toefl,ielts,duolingo"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2" min="1" max="1"/>
    <col width="30" customWidth="1" style="2" min="2" max="2"/>
    <col width="50" customWidth="1" style="2" min="3" max="3"/>
    <col width="44" customWidth="1" style="2" min="4" max="4"/>
    <col width="28" customWidth="1" style="2" min="5" max="5"/>
    <col width="32" customWidth="1" style="2" min="6" max="6"/>
    <col width="38" customWidth="1" style="2" min="7" max="7"/>
  </cols>
  <sheetData>
    <row r="1" ht="18" customHeight="1">
      <c r="A1" s="17" t="inlineStr">
        <is>
          <t>Every column, what it means, and where it lands in the database. If you cannot find a value, type not_reported. If you are not sure, leave it empty and ask Jeff.</t>
        </is>
      </c>
    </row>
    <row r="2" ht="20" customHeight="1">
      <c r="A2" s="18" t="inlineStr">
        <is>
          <t>Group</t>
        </is>
      </c>
      <c r="B2" s="18" t="inlineStr">
        <is>
          <t>Column</t>
        </is>
      </c>
      <c r="C2" s="18" t="inlineStr">
        <is>
          <t>What it is</t>
        </is>
      </c>
      <c r="D2" s="18" t="inlineStr">
        <is>
          <t>Where to find it</t>
        </is>
      </c>
      <c r="E2" s="18" t="inlineStr">
        <is>
          <t>Format</t>
        </is>
      </c>
      <c r="F2" s="18" t="inlineStr">
        <is>
          <t>Example</t>
        </is>
      </c>
      <c r="G2" s="18" t="inlineStr">
        <is>
          <t>Goes into</t>
        </is>
      </c>
    </row>
    <row r="3">
      <c r="A3" s="19" t="inlineStr">
        <is>
          <t>Universities tab</t>
        </is>
      </c>
    </row>
    <row r="4" ht="15" customHeight="1">
      <c r="A4" s="3" t="inlineStr">
        <is>
          <t>Which university</t>
        </is>
      </c>
      <c r="B4" t="inlineStr">
        <is>
          <t>status</t>
        </is>
      </c>
      <c r="C4" t="inlineStr">
        <is>
          <t>Where this row stands.</t>
        </is>
      </c>
      <c r="D4" t="inlineStr">
        <is>
          <t>You.</t>
        </is>
      </c>
      <c r="E4" t="inlineStr">
        <is>
          <t>not started / in progress / done</t>
        </is>
      </c>
      <c r="F4" t="inlineStr">
        <is>
          <t>done</t>
        </is>
      </c>
      <c r="G4" t="inlineStr">
        <is>
          <t>-</t>
        </is>
      </c>
    </row>
    <row r="5" ht="15" customHeight="1">
      <c r="A5" t="inlineStr"/>
      <c r="B5" t="inlineStr">
        <is>
          <t>collector</t>
        </is>
      </c>
      <c r="C5" t="inlineStr">
        <is>
          <t>Who filled the row.</t>
        </is>
      </c>
      <c r="D5" t="inlineStr">
        <is>
          <t>You.</t>
        </is>
      </c>
      <c r="E5" t="inlineStr">
        <is>
          <t>First name</t>
        </is>
      </c>
      <c r="F5" t="inlineStr">
        <is>
          <t>example</t>
        </is>
      </c>
      <c r="G5" t="inlineStr">
        <is>
          <t>-</t>
        </is>
      </c>
    </row>
    <row r="6" ht="15" customHeight="1">
      <c r="A6" t="inlineStr"/>
      <c r="B6" t="inlineStr">
        <is>
          <t>date_completed</t>
        </is>
      </c>
      <c r="C6" t="inlineStr">
        <is>
          <t>Day you finished the row.</t>
        </is>
      </c>
      <c r="D6" t="inlineStr">
        <is>
          <t>You.</t>
        </is>
      </c>
      <c r="E6" t="inlineStr">
        <is>
          <t>YYYY-MM-DD</t>
        </is>
      </c>
      <c r="F6" t="inlineStr">
        <is>
          <t>2027-01-15</t>
        </is>
      </c>
      <c r="G6" t="inlineStr">
        <is>
          <t>-</t>
        </is>
      </c>
    </row>
    <row r="7" ht="30" customHeight="1">
      <c r="A7" t="inlineStr"/>
      <c r="B7" t="inlineStr">
        <is>
          <t>unitid</t>
        </is>
      </c>
      <c r="C7" t="inlineStr">
        <is>
          <t>IPEDS UNITID. This is how your row is matched to our database, so check it twice.</t>
        </is>
      </c>
      <c r="D7" t="inlineStr">
        <is>
          <t>NCES College Navigator.</t>
        </is>
      </c>
      <c r="E7" t="inlineStr">
        <is>
          <t>6 digits</t>
        </is>
      </c>
      <c r="F7" t="inlineStr">
        <is>
          <t>999999</t>
        </is>
      </c>
      <c r="G7" t="inlineStr">
        <is>
          <t>universities.unitid</t>
        </is>
      </c>
    </row>
    <row r="8" ht="15" customHeight="1">
      <c r="A8" t="inlineStr"/>
      <c r="B8" t="inlineStr">
        <is>
          <t>university_name</t>
        </is>
      </c>
      <c r="C8" t="inlineStr">
        <is>
          <t>Official name.</t>
        </is>
      </c>
      <c r="D8" t="inlineStr">
        <is>
          <t>IPEDS.</t>
        </is>
      </c>
      <c r="E8" t="inlineStr">
        <is>
          <t>Text</t>
        </is>
      </c>
      <c r="F8" t="inlineStr">
        <is>
          <t>EXAMPLE ROW - do not copy</t>
        </is>
      </c>
      <c r="G8" t="inlineStr">
        <is>
          <t>universities.name</t>
        </is>
      </c>
    </row>
    <row r="9" ht="15" customHeight="1">
      <c r="A9" t="inlineStr"/>
      <c r="B9" t="inlineStr">
        <is>
          <t>city</t>
        </is>
      </c>
      <c r="C9" t="inlineStr">
        <is>
          <t>City and state, written out.</t>
        </is>
      </c>
      <c r="D9" t="inlineStr">
        <is>
          <t>The university website.</t>
        </is>
      </c>
      <c r="E9" t="inlineStr">
        <is>
          <t>City, State</t>
        </is>
      </c>
      <c r="F9" t="inlineStr">
        <is>
          <t>Cambridge, Massachusetts</t>
        </is>
      </c>
      <c r="G9" t="inlineStr">
        <is>
          <t>universities.city</t>
        </is>
      </c>
    </row>
    <row r="10" ht="15" customHeight="1">
      <c r="A10" t="inlineStr"/>
      <c r="B10" t="inlineStr">
        <is>
          <t>state</t>
        </is>
      </c>
      <c r="C10" t="inlineStr">
        <is>
          <t>State code.</t>
        </is>
      </c>
      <c r="D10" t="inlineStr">
        <is>
          <t>IPEDS.</t>
        </is>
      </c>
      <c r="E10" t="inlineStr">
        <is>
          <t>Two letters</t>
        </is>
      </c>
      <c r="F10" t="inlineStr">
        <is>
          <t>MA</t>
        </is>
      </c>
      <c r="G10" t="inlineStr">
        <is>
          <t>universities.state</t>
        </is>
      </c>
    </row>
    <row r="11" ht="15" customHeight="1">
      <c r="A11" s="3" t="inlineStr">
        <is>
          <t>Applying</t>
        </is>
      </c>
      <c r="B11" t="inlineStr">
        <is>
          <t>application_fee_usd</t>
        </is>
      </c>
      <c r="C11" t="inlineStr">
        <is>
          <t>Fee to apply as an undergraduate.</t>
        </is>
      </c>
      <c r="D11" t="inlineStr">
        <is>
          <t>Admissions site, or CDS section C.</t>
        </is>
      </c>
      <c r="E11" t="inlineStr">
        <is>
          <t>Whole USD</t>
        </is>
      </c>
      <c r="F11" t="inlineStr">
        <is>
          <t>75</t>
        </is>
      </c>
      <c r="G11" t="inlineStr">
        <is>
          <t>university_facts / application_fee</t>
        </is>
      </c>
    </row>
    <row r="12" ht="15" customHeight="1">
      <c r="A12" t="inlineStr"/>
      <c r="B12" t="inlineStr">
        <is>
          <t>deadline_regular</t>
        </is>
      </c>
      <c r="C12" t="inlineStr">
        <is>
          <t>Regular first-year application deadline.</t>
        </is>
      </c>
      <c r="D12" t="inlineStr">
        <is>
          <t>Admissions deadlines page.</t>
        </is>
      </c>
      <c r="E12" t="inlineStr">
        <is>
          <t>YYYY-MM-DD</t>
        </is>
      </c>
      <c r="F12" t="inlineStr">
        <is>
          <t>2027-01-01</t>
        </is>
      </c>
      <c r="G12" t="inlineStr">
        <is>
          <t>university_facts / deadline</t>
        </is>
      </c>
    </row>
    <row r="13" ht="15" customHeight="1">
      <c r="A13" t="inlineStr"/>
      <c r="B13" t="inlineStr">
        <is>
          <t>deadline_early</t>
        </is>
      </c>
      <c r="C13" t="inlineStr">
        <is>
          <t>Early action or early decision deadline.</t>
        </is>
      </c>
      <c r="D13" t="inlineStr">
        <is>
          <t>Same page.</t>
        </is>
      </c>
      <c r="E13" t="inlineStr">
        <is>
          <t>YYYY-MM-DD or not_reported</t>
        </is>
      </c>
      <c r="F13" t="inlineStr">
        <is>
          <t>2026-11-01</t>
        </is>
      </c>
      <c r="G13" t="inlineStr">
        <is>
          <t>university_facts / deadline</t>
        </is>
      </c>
    </row>
    <row r="14" ht="15" customHeight="1">
      <c r="A14" t="inlineStr"/>
      <c r="B14" t="inlineStr">
        <is>
          <t>deadline_international</t>
        </is>
      </c>
      <c r="C14" t="inlineStr">
        <is>
          <t>International deadline, if it is different.</t>
        </is>
      </c>
      <c r="D14" t="inlineStr">
        <is>
          <t>International admissions page.</t>
        </is>
      </c>
      <c r="E14" t="inlineStr">
        <is>
          <t>YYYY-MM-DD or not_reported</t>
        </is>
      </c>
      <c r="F14" t="inlineStr">
        <is>
          <t>2027-01-01</t>
        </is>
      </c>
      <c r="G14" t="inlineStr">
        <is>
          <t>university_facts / deadline</t>
        </is>
      </c>
    </row>
    <row r="15" ht="30" customHeight="1">
      <c r="A15" t="inlineStr"/>
      <c r="B15" t="inlineStr">
        <is>
          <t>intake_terms</t>
        </is>
      </c>
      <c r="C15" t="inlineStr">
        <is>
          <t>Which terms a new student can start in. Many take Fall only.</t>
        </is>
      </c>
      <c r="D15" t="inlineStr">
        <is>
          <t>Admissions page.</t>
        </is>
      </c>
      <c r="E15" t="inlineStr">
        <is>
          <t>Separate with ;</t>
        </is>
      </c>
      <c r="F15" t="inlineStr">
        <is>
          <t>Fall; Spring</t>
        </is>
      </c>
      <c r="G15" t="inlineStr">
        <is>
          <t>university_facts / intake</t>
        </is>
      </c>
    </row>
    <row r="16" ht="15" customHeight="1">
      <c r="A16" s="3" t="inlineStr">
        <is>
          <t>Applying: source</t>
        </is>
      </c>
      <c r="B16" t="inlineStr">
        <is>
          <t>app_source_url</t>
        </is>
      </c>
      <c r="C16" t="inlineStr">
        <is>
          <t>Page this group came from.</t>
        </is>
      </c>
      <c r="D16" t="inlineStr">
        <is>
          <t>You.</t>
        </is>
      </c>
      <c r="E16" t="inlineStr">
        <is>
          <t>Full link</t>
        </is>
      </c>
      <c r="F16" t="inlineStr">
        <is>
          <t>https://example.edu/admissions/deadlines</t>
        </is>
      </c>
      <c r="G16" t="inlineStr">
        <is>
          <t>sources.url</t>
        </is>
      </c>
    </row>
    <row r="17" ht="15" customHeight="1">
      <c r="A17" t="inlineStr"/>
      <c r="B17" t="inlineStr">
        <is>
          <t>app_retrieved_on</t>
        </is>
      </c>
      <c r="C17" t="inlineStr">
        <is>
          <t>Day you read that page.</t>
        </is>
      </c>
      <c r="D17" t="inlineStr">
        <is>
          <t>You.</t>
        </is>
      </c>
      <c r="E17" t="inlineStr">
        <is>
          <t>YYYY-MM-DD</t>
        </is>
      </c>
      <c r="F17" t="inlineStr">
        <is>
          <t>2026-10-10</t>
        </is>
      </c>
      <c r="G17" t="inlineStr">
        <is>
          <t>sources.retrieved_at</t>
        </is>
      </c>
    </row>
    <row r="18" ht="15" customHeight="1">
      <c r="A18" s="3" t="inlineStr">
        <is>
          <t>Published costs</t>
        </is>
      </c>
      <c r="B18" t="inlineStr">
        <is>
          <t>tuition_usd</t>
        </is>
      </c>
      <c r="C18" t="inlineStr">
        <is>
          <t>Published tuition for one year.</t>
        </is>
      </c>
      <c r="D18" t="inlineStr">
        <is>
          <t>CDS section G, or the cost page.</t>
        </is>
      </c>
      <c r="E18" t="inlineStr">
        <is>
          <t>Whole USD</t>
        </is>
      </c>
      <c r="F18" t="inlineStr">
        <is>
          <t>59000</t>
        </is>
      </c>
      <c r="G18" t="inlineStr">
        <is>
          <t>university_facts / tuition</t>
        </is>
      </c>
    </row>
    <row r="19" ht="15" customHeight="1">
      <c r="A19" t="inlineStr"/>
      <c r="B19" t="inlineStr">
        <is>
          <t>fees_usd</t>
        </is>
      </c>
      <c r="C19" t="inlineStr">
        <is>
          <t>Required fees, separate from tuition.</t>
        </is>
      </c>
      <c r="D19" t="inlineStr">
        <is>
          <t>Same place.</t>
        </is>
      </c>
      <c r="E19" t="inlineStr">
        <is>
          <t>Whole USD</t>
        </is>
      </c>
      <c r="F19" t="inlineStr">
        <is>
          <t>2500</t>
        </is>
      </c>
      <c r="G19" t="inlineStr">
        <is>
          <t>university_facts / fees</t>
        </is>
      </c>
    </row>
    <row r="20" ht="15" customHeight="1">
      <c r="A20" t="inlineStr"/>
      <c r="B20" t="inlineStr">
        <is>
          <t>room_board_usd</t>
        </is>
      </c>
      <c r="C20" t="inlineStr">
        <is>
          <t>Room and board on campus.</t>
        </is>
      </c>
      <c r="D20" t="inlineStr">
        <is>
          <t>Same place.</t>
        </is>
      </c>
      <c r="E20" t="inlineStr">
        <is>
          <t>Whole USD</t>
        </is>
      </c>
      <c r="F20" t="inlineStr">
        <is>
          <t>21000</t>
        </is>
      </c>
      <c r="G20" t="inlineStr">
        <is>
          <t>university_facts / room_board</t>
        </is>
      </c>
    </row>
    <row r="21" ht="15" customHeight="1">
      <c r="A21" t="inlineStr"/>
      <c r="B21" t="inlineStr">
        <is>
          <t>total_cost_of_attendance_usd</t>
        </is>
      </c>
      <c r="C21" t="inlineStr">
        <is>
          <t>The total the university publishes for one year.</t>
        </is>
      </c>
      <c r="D21" t="inlineStr">
        <is>
          <t>Same place.</t>
        </is>
      </c>
      <c r="E21" t="inlineStr">
        <is>
          <t>Whole USD</t>
        </is>
      </c>
      <c r="F21" t="inlineStr">
        <is>
          <t>82500</t>
        </is>
      </c>
      <c r="G21" t="inlineStr">
        <is>
          <t>university_facts / total_cost_of_attendance</t>
        </is>
      </c>
    </row>
    <row r="22" ht="15" customHeight="1">
      <c r="A22" t="inlineStr"/>
      <c r="B22" t="inlineStr">
        <is>
          <t>cost_academic_year</t>
        </is>
      </c>
      <c r="C22" t="inlineStr">
        <is>
          <t>Year these costs are for.</t>
        </is>
      </c>
      <c r="D22" t="inlineStr">
        <is>
          <t>The heading above the numbers.</t>
        </is>
      </c>
      <c r="E22" t="inlineStr">
        <is>
          <t>YYYY-YYYY</t>
        </is>
      </c>
      <c r="F22" t="inlineStr">
        <is>
          <t>2026-2027</t>
        </is>
      </c>
      <c r="G22" t="inlineStr">
        <is>
          <t>amount_period</t>
        </is>
      </c>
    </row>
    <row r="23" ht="15" customHeight="1">
      <c r="A23" s="3" t="inlineStr">
        <is>
          <t>Published costs: source</t>
        </is>
      </c>
      <c r="B23" t="inlineStr">
        <is>
          <t>cost_source_url</t>
        </is>
      </c>
      <c r="C23" t="inlineStr">
        <is>
          <t>Page this group came from.</t>
        </is>
      </c>
      <c r="D23" t="inlineStr">
        <is>
          <t>You.</t>
        </is>
      </c>
      <c r="E23" t="inlineStr">
        <is>
          <t>Full link</t>
        </is>
      </c>
      <c r="F23" t="inlineStr">
        <is>
          <t>https://example.edu/cost</t>
        </is>
      </c>
      <c r="G23" t="inlineStr">
        <is>
          <t>sources.url</t>
        </is>
      </c>
    </row>
    <row r="24" ht="15" customHeight="1">
      <c r="A24" t="inlineStr"/>
      <c r="B24" t="inlineStr">
        <is>
          <t>cost_retrieved_on</t>
        </is>
      </c>
      <c r="C24" t="inlineStr">
        <is>
          <t>Day you read that page.</t>
        </is>
      </c>
      <c r="D24" t="inlineStr">
        <is>
          <t>You.</t>
        </is>
      </c>
      <c r="E24" t="inlineStr">
        <is>
          <t>YYYY-MM-DD</t>
        </is>
      </c>
      <c r="F24" t="inlineStr">
        <is>
          <t>2026-10-10</t>
        </is>
      </c>
      <c r="G24" t="inlineStr">
        <is>
          <t>sources.retrieved_at</t>
        </is>
      </c>
    </row>
    <row r="25" ht="30" customHeight="1">
      <c r="A25" s="3" t="inlineStr">
        <is>
          <t>Living cost, off campus</t>
        </is>
      </c>
      <c r="B25" t="inlineStr">
        <is>
          <t>living_cost_total_usd</t>
        </is>
      </c>
      <c r="C25" t="inlineStr">
        <is>
          <t>Living cost for a student NOT in university housing. This is different from room_board.</t>
        </is>
      </c>
      <c r="D25" t="inlineStr">
        <is>
          <t>Cost of attendance page, off-campus budget.</t>
        </is>
      </c>
      <c r="E25" t="inlineStr">
        <is>
          <t>Whole USD</t>
        </is>
      </c>
      <c r="F25" t="inlineStr">
        <is>
          <t>24000</t>
        </is>
      </c>
      <c r="G25" t="inlineStr">
        <is>
          <t>university_facts / living_cost</t>
        </is>
      </c>
    </row>
    <row r="26" ht="15" customHeight="1">
      <c r="A26" t="inlineStr"/>
      <c r="B26" t="inlineStr">
        <is>
          <t>living_accommodation_usd</t>
        </is>
      </c>
      <c r="C26" t="inlineStr">
        <is>
          <t>Rent part of that total.</t>
        </is>
      </c>
      <c r="D26" t="inlineStr">
        <is>
          <t>Same page.</t>
        </is>
      </c>
      <c r="E26" t="inlineStr">
        <is>
          <t>Whole USD or not_reported</t>
        </is>
      </c>
      <c r="F26" t="inlineStr">
        <is>
          <t>15000</t>
        </is>
      </c>
      <c r="G26" t="inlineStr">
        <is>
          <t>university_facts / living_accommodation</t>
        </is>
      </c>
    </row>
    <row r="27" ht="15" customHeight="1">
      <c r="A27" t="inlineStr"/>
      <c r="B27" t="inlineStr">
        <is>
          <t>living_food_usd</t>
        </is>
      </c>
      <c r="C27" t="inlineStr">
        <is>
          <t>Food part.</t>
        </is>
      </c>
      <c r="D27" t="inlineStr">
        <is>
          <t>Same page.</t>
        </is>
      </c>
      <c r="E27" t="inlineStr">
        <is>
          <t>Whole USD or not_reported</t>
        </is>
      </c>
      <c r="F27" t="inlineStr">
        <is>
          <t>6000</t>
        </is>
      </c>
      <c r="G27" t="inlineStr">
        <is>
          <t>university_facts / living_food</t>
        </is>
      </c>
    </row>
    <row r="28" ht="15" customHeight="1">
      <c r="A28" t="inlineStr"/>
      <c r="B28" t="inlineStr">
        <is>
          <t>living_transport_usd</t>
        </is>
      </c>
      <c r="C28" t="inlineStr">
        <is>
          <t>Transport part.</t>
        </is>
      </c>
      <c r="D28" t="inlineStr">
        <is>
          <t>Same page.</t>
        </is>
      </c>
      <c r="E28" t="inlineStr">
        <is>
          <t>Whole USD or not_reported</t>
        </is>
      </c>
      <c r="F28" t="inlineStr">
        <is>
          <t>1800</t>
        </is>
      </c>
      <c r="G28" t="inlineStr">
        <is>
          <t>university_facts / living_transport</t>
        </is>
      </c>
    </row>
    <row r="29" ht="15" customHeight="1">
      <c r="A29" t="inlineStr"/>
      <c r="B29" t="inlineStr">
        <is>
          <t>living_utilities_usd</t>
        </is>
      </c>
      <c r="C29" t="inlineStr">
        <is>
          <t>Utilities part.</t>
        </is>
      </c>
      <c r="D29" t="inlineStr">
        <is>
          <t>Same page.</t>
        </is>
      </c>
      <c r="E29" t="inlineStr">
        <is>
          <t>Whole USD or not_reported</t>
        </is>
      </c>
      <c r="F29" t="inlineStr">
        <is>
          <t>1200</t>
        </is>
      </c>
      <c r="G29" t="inlineStr">
        <is>
          <t>university_facts / living_utilities</t>
        </is>
      </c>
    </row>
    <row r="30" ht="15" customHeight="1">
      <c r="A30" s="3" t="inlineStr">
        <is>
          <t>Living cost: source</t>
        </is>
      </c>
      <c r="B30" t="inlineStr">
        <is>
          <t>living_source_url</t>
        </is>
      </c>
      <c r="C30" t="inlineStr">
        <is>
          <t>Page this group came from.</t>
        </is>
      </c>
      <c r="D30" t="inlineStr">
        <is>
          <t>You.</t>
        </is>
      </c>
      <c r="E30" t="inlineStr">
        <is>
          <t>Full link</t>
        </is>
      </c>
      <c r="F30" t="inlineStr">
        <is>
          <t>https://example.edu/cost/off-campus</t>
        </is>
      </c>
      <c r="G30" t="inlineStr">
        <is>
          <t>sources.url</t>
        </is>
      </c>
    </row>
    <row r="31" ht="15" customHeight="1">
      <c r="A31" t="inlineStr"/>
      <c r="B31" t="inlineStr">
        <is>
          <t>living_retrieved_on</t>
        </is>
      </c>
      <c r="C31" t="inlineStr">
        <is>
          <t>Day you read that page.</t>
        </is>
      </c>
      <c r="D31" t="inlineStr">
        <is>
          <t>You.</t>
        </is>
      </c>
      <c r="E31" t="inlineStr">
        <is>
          <t>YYYY-MM-DD</t>
        </is>
      </c>
      <c r="F31" t="inlineStr">
        <is>
          <t>2026-10-10</t>
        </is>
      </c>
      <c r="G31" t="inlineStr">
        <is>
          <t>sources.retrieved_at</t>
        </is>
      </c>
    </row>
    <row r="32" ht="30" customHeight="1">
      <c r="A32" s="3" t="inlineStr">
        <is>
          <t>International students and aid</t>
        </is>
      </c>
      <c r="B32" t="inlineStr">
        <is>
          <t>international_student_pct</t>
        </is>
      </c>
      <c r="C32" t="inlineStr">
        <is>
          <t>Share of students who are international, as a percent.</t>
        </is>
      </c>
      <c r="D32" t="inlineStr">
        <is>
          <t>Facts or about page.</t>
        </is>
      </c>
      <c r="E32" t="inlineStr">
        <is>
          <t>Number, one decimal</t>
        </is>
      </c>
      <c r="F32" t="inlineStr">
        <is>
          <t>12.4</t>
        </is>
      </c>
      <c r="G32" t="inlineStr">
        <is>
          <t>university_facts / international_student_pct</t>
        </is>
      </c>
    </row>
    <row r="33" ht="30" customHeight="1">
      <c r="A33" t="inlineStr"/>
      <c r="B33" t="inlineStr">
        <is>
          <t>aid_international</t>
        </is>
      </c>
      <c r="C33" t="inlineStr">
        <is>
          <t>Does the university give its own need-based aid to international students?</t>
        </is>
      </c>
      <c r="D33" t="inlineStr">
        <is>
          <t>Financial aid site.</t>
        </is>
      </c>
      <c r="E33" t="inlineStr">
        <is>
          <t>yes / no / not_reported</t>
        </is>
      </c>
      <c r="F33" t="inlineStr">
        <is>
          <t>yes</t>
        </is>
      </c>
      <c r="G33" t="inlineStr">
        <is>
          <t>university_facts / aid_international</t>
        </is>
      </c>
    </row>
    <row r="34" ht="30" customHeight="1">
      <c r="A34" t="inlineStr"/>
      <c r="B34" t="inlineStr">
        <is>
          <t>aid_international_detail</t>
        </is>
      </c>
      <c r="C34" t="inlineStr">
        <is>
          <t>One short sentence with the detail, in the university's own words.</t>
        </is>
      </c>
      <c r="D34" t="inlineStr">
        <is>
          <t>Same page.</t>
        </is>
      </c>
      <c r="E34" t="inlineStr">
        <is>
          <t>Short text or not_reported</t>
        </is>
      </c>
      <c r="F34" t="inlineStr">
        <is>
          <t>Need-aware for international applicants; average award 58000 USD</t>
        </is>
      </c>
      <c r="G34" t="inlineStr">
        <is>
          <t>value text on the same fact</t>
        </is>
      </c>
    </row>
    <row r="35" ht="30" customHeight="1">
      <c r="A35" t="inlineStr"/>
      <c r="B35" t="inlineStr">
        <is>
          <t>financial_certification_usd</t>
        </is>
      </c>
      <c r="C35" t="inlineStr">
        <is>
          <t>Money an international student must prove they have, to get the I-20.</t>
        </is>
      </c>
      <c r="D35" t="inlineStr">
        <is>
          <t>International student services page.</t>
        </is>
      </c>
      <c r="E35" t="inlineStr">
        <is>
          <t>Whole USD</t>
        </is>
      </c>
      <c r="F35" t="inlineStr">
        <is>
          <t>81000</t>
        </is>
      </c>
      <c r="G35" t="inlineStr">
        <is>
          <t>university_facts / financial_certification</t>
        </is>
      </c>
    </row>
    <row r="36" ht="15" customHeight="1">
      <c r="A36" s="3" t="inlineStr">
        <is>
          <t>International: source</t>
        </is>
      </c>
      <c r="B36" t="inlineStr">
        <is>
          <t>intl_source_url</t>
        </is>
      </c>
      <c r="C36" t="inlineStr">
        <is>
          <t>Page this group came from.</t>
        </is>
      </c>
      <c r="D36" t="inlineStr">
        <is>
          <t>You.</t>
        </is>
      </c>
      <c r="E36" t="inlineStr">
        <is>
          <t>Full link</t>
        </is>
      </c>
      <c r="F36" t="inlineStr">
        <is>
          <t>https://example.edu/aid/international</t>
        </is>
      </c>
      <c r="G36" t="inlineStr">
        <is>
          <t>sources.url</t>
        </is>
      </c>
    </row>
    <row r="37" ht="15" customHeight="1">
      <c r="A37" t="inlineStr"/>
      <c r="B37" t="inlineStr">
        <is>
          <t>intl_retrieved_on</t>
        </is>
      </c>
      <c r="C37" t="inlineStr">
        <is>
          <t>Day you read that page.</t>
        </is>
      </c>
      <c r="D37" t="inlineStr">
        <is>
          <t>You.</t>
        </is>
      </c>
      <c r="E37" t="inlineStr">
        <is>
          <t>YYYY-MM-DD</t>
        </is>
      </c>
      <c r="F37" t="inlineStr">
        <is>
          <t>2026-10-10</t>
        </is>
      </c>
      <c r="G37" t="inlineStr">
        <is>
          <t>sources.retrieved_at</t>
        </is>
      </c>
    </row>
    <row r="38" ht="15" customHeight="1">
      <c r="A38" s="3" t="inlineStr">
        <is>
          <t>Tests</t>
        </is>
      </c>
      <c r="B38" t="inlineStr">
        <is>
          <t>test_policy</t>
        </is>
      </c>
      <c r="C38" t="inlineStr">
        <is>
          <t>Are SAT or ACT scores required?</t>
        </is>
      </c>
      <c r="D38" t="inlineStr">
        <is>
          <t>CDS section C, or the admissions site.</t>
        </is>
      </c>
      <c r="E38" t="inlineStr">
        <is>
          <t>required / optional / blind / not_reported</t>
        </is>
      </c>
      <c r="F38" t="inlineStr">
        <is>
          <t>optional</t>
        </is>
      </c>
      <c r="G38" t="inlineStr">
        <is>
          <t>university_facts / test_policy</t>
        </is>
      </c>
    </row>
    <row r="39" ht="30" customHeight="1">
      <c r="A39" t="inlineStr"/>
      <c r="B39" t="inlineStr">
        <is>
          <t>sat_value</t>
        </is>
      </c>
      <c r="C39" t="inlineStr">
        <is>
          <t>One SAT number. A minimum if they publish one, otherwise the middle (50th percentile) score.</t>
        </is>
      </c>
      <c r="D39" t="inlineStr">
        <is>
          <t>CDS section C.</t>
        </is>
      </c>
      <c r="E39" t="inlineStr">
        <is>
          <t>400-1600 or not_reported</t>
        </is>
      </c>
      <c r="F39" t="inlineStr">
        <is>
          <t>1500</t>
        </is>
      </c>
      <c r="G39" t="inlineStr">
        <is>
          <t>requirements / sat</t>
        </is>
      </c>
    </row>
    <row r="40" ht="15" customHeight="1">
      <c r="A40" t="inlineStr"/>
      <c r="B40" t="inlineStr">
        <is>
          <t>sat_benchmark</t>
        </is>
      </c>
      <c r="C40" t="inlineStr">
        <is>
          <t>Is that number a real minimum, or just typical?</t>
        </is>
      </c>
      <c r="D40" t="inlineStr">
        <is>
          <t>You decide from the page.</t>
        </is>
      </c>
      <c r="E40" t="inlineStr">
        <is>
          <t>admission_minimum / indicative</t>
        </is>
      </c>
      <c r="F40" t="inlineStr">
        <is>
          <t>indicative</t>
        </is>
      </c>
      <c r="G40" t="inlineStr">
        <is>
          <t>requirements.benchmark</t>
        </is>
      </c>
    </row>
    <row r="41" ht="15" customHeight="1">
      <c r="A41" t="inlineStr"/>
      <c r="B41" t="inlineStr">
        <is>
          <t>act_value</t>
        </is>
      </c>
      <c r="C41" t="inlineStr">
        <is>
          <t>Same idea for ACT.</t>
        </is>
      </c>
      <c r="D41" t="inlineStr">
        <is>
          <t>CDS section C.</t>
        </is>
      </c>
      <c r="E41" t="inlineStr">
        <is>
          <t>1-36 or not_reported</t>
        </is>
      </c>
      <c r="F41" t="inlineStr">
        <is>
          <t>34</t>
        </is>
      </c>
      <c r="G41" t="inlineStr">
        <is>
          <t>requirements / act</t>
        </is>
      </c>
    </row>
    <row r="42" ht="15" customHeight="1">
      <c r="A42" t="inlineStr"/>
      <c r="B42" t="inlineStr">
        <is>
          <t>act_benchmark</t>
        </is>
      </c>
      <c r="C42" t="inlineStr">
        <is>
          <t>Minimum or typical?</t>
        </is>
      </c>
      <c r="D42" t="inlineStr">
        <is>
          <t>You decide.</t>
        </is>
      </c>
      <c r="E42" t="inlineStr">
        <is>
          <t>admission_minimum / indicative</t>
        </is>
      </c>
      <c r="F42" t="inlineStr">
        <is>
          <t>indicative</t>
        </is>
      </c>
      <c r="G42" t="inlineStr">
        <is>
          <t>requirements.benchmark</t>
        </is>
      </c>
    </row>
    <row r="43" ht="15" customHeight="1">
      <c r="A43" t="inlineStr"/>
      <c r="B43" t="inlineStr">
        <is>
          <t>gpa_value</t>
        </is>
      </c>
      <c r="C43" t="inlineStr">
        <is>
          <t>Minimum GPA, if they publish one.</t>
        </is>
      </c>
      <c r="D43" t="inlineStr">
        <is>
          <t>Admissions requirements page.</t>
        </is>
      </c>
      <c r="E43" t="inlineStr">
        <is>
          <t>0-4.0 or not_reported</t>
        </is>
      </c>
      <c r="F43" t="inlineStr">
        <is>
          <t>not_reported</t>
        </is>
      </c>
      <c r="G43" t="inlineStr">
        <is>
          <t>requirements / gpa</t>
        </is>
      </c>
    </row>
    <row r="44" ht="15" customHeight="1">
      <c r="A44" t="inlineStr"/>
      <c r="B44" t="inlineStr">
        <is>
          <t>gpa_benchmark</t>
        </is>
      </c>
      <c r="C44" t="inlineStr">
        <is>
          <t>Minimum or typical?</t>
        </is>
      </c>
      <c r="D44" t="inlineStr">
        <is>
          <t>You decide.</t>
        </is>
      </c>
      <c r="E44" t="inlineStr">
        <is>
          <t>admission_minimum / indicative / none</t>
        </is>
      </c>
      <c r="F44" t="inlineStr">
        <is>
          <t>none</t>
        </is>
      </c>
      <c r="G44" t="inlineStr">
        <is>
          <t>requirements.benchmark</t>
        </is>
      </c>
    </row>
    <row r="45" ht="15" customHeight="1">
      <c r="A45" s="3" t="inlineStr">
        <is>
          <t>Tests: source</t>
        </is>
      </c>
      <c r="B45" t="inlineStr">
        <is>
          <t>test_source_url</t>
        </is>
      </c>
      <c r="C45" t="inlineStr">
        <is>
          <t>Page or PDF this group came from.</t>
        </is>
      </c>
      <c r="D45" t="inlineStr">
        <is>
          <t>You.</t>
        </is>
      </c>
      <c r="E45" t="inlineStr">
        <is>
          <t>Full link</t>
        </is>
      </c>
      <c r="F45" t="inlineStr">
        <is>
          <t>https://example.edu/ir/cds-2024-2025.pdf</t>
        </is>
      </c>
      <c r="G45" t="inlineStr">
        <is>
          <t>sources.url</t>
        </is>
      </c>
    </row>
    <row r="46" ht="15" customHeight="1">
      <c r="A46" t="inlineStr"/>
      <c r="B46" t="inlineStr">
        <is>
          <t>test_retrieved_on</t>
        </is>
      </c>
      <c r="C46" t="inlineStr">
        <is>
          <t>Day you read it.</t>
        </is>
      </c>
      <c r="D46" t="inlineStr">
        <is>
          <t>You.</t>
        </is>
      </c>
      <c r="E46" t="inlineStr">
        <is>
          <t>YYYY-MM-DD</t>
        </is>
      </c>
      <c r="F46" t="inlineStr">
        <is>
          <t>2026-10-10</t>
        </is>
      </c>
      <c r="G46" t="inlineStr">
        <is>
          <t>sources.retrieved_at</t>
        </is>
      </c>
    </row>
    <row r="47" ht="15" customHeight="1">
      <c r="A47" s="3" t="inlineStr">
        <is>
          <t>English language</t>
        </is>
      </c>
      <c r="B47" t="inlineStr">
        <is>
          <t>toefl_min</t>
        </is>
      </c>
      <c r="C47" t="inlineStr">
        <is>
          <t>Lowest TOEFL iBT total they accept.</t>
        </is>
      </c>
      <c r="D47" t="inlineStr">
        <is>
          <t>English proficiency page.</t>
        </is>
      </c>
      <c r="E47" t="inlineStr">
        <is>
          <t>0-120 or not_reported</t>
        </is>
      </c>
      <c r="F47" t="inlineStr">
        <is>
          <t>100</t>
        </is>
      </c>
      <c r="G47" t="inlineStr">
        <is>
          <t>requirements / toefl</t>
        </is>
      </c>
    </row>
    <row r="48" ht="15" customHeight="1">
      <c r="A48" t="inlineStr"/>
      <c r="B48" t="inlineStr">
        <is>
          <t>ielts_min</t>
        </is>
      </c>
      <c r="C48" t="inlineStr">
        <is>
          <t>Lowest IELTS overall band they accept.</t>
        </is>
      </c>
      <c r="D48" t="inlineStr">
        <is>
          <t>Same page.</t>
        </is>
      </c>
      <c r="E48" t="inlineStr">
        <is>
          <t>0-9, one decimal, or not_reported</t>
        </is>
      </c>
      <c r="F48" t="inlineStr">
        <is>
          <t>7.0</t>
        </is>
      </c>
      <c r="G48" t="inlineStr">
        <is>
          <t>requirements / ielts</t>
        </is>
      </c>
    </row>
    <row r="49" ht="15" customHeight="1">
      <c r="A49" t="inlineStr"/>
      <c r="B49" t="inlineStr">
        <is>
          <t>duolingo_min</t>
        </is>
      </c>
      <c r="C49" t="inlineStr">
        <is>
          <t>Lowest Duolingo score they accept.</t>
        </is>
      </c>
      <c r="D49" t="inlineStr">
        <is>
          <t>Same page.</t>
        </is>
      </c>
      <c r="E49" t="inlineStr">
        <is>
          <t>10-160 or not_reported</t>
        </is>
      </c>
      <c r="F49" t="inlineStr">
        <is>
          <t>130</t>
        </is>
      </c>
      <c r="G49" t="inlineStr">
        <is>
          <t>requirements / duolingo</t>
        </is>
      </c>
    </row>
    <row r="50" ht="30" customHeight="1">
      <c r="A50" t="inlineStr"/>
      <c r="B50" t="inlineStr">
        <is>
          <t>english_alternative</t>
        </is>
      </c>
      <c r="C50" t="inlineStr">
        <is>
          <t>How a student can skip the English test, if they can.</t>
        </is>
      </c>
      <c r="D50" t="inlineStr">
        <is>
          <t>Same page.</t>
        </is>
      </c>
      <c r="E50" t="inlineStr">
        <is>
          <t>Short text or not_reported</t>
        </is>
      </c>
      <c r="F50" t="inlineStr">
        <is>
          <t>Waived after 4 years of school taught in English</t>
        </is>
      </c>
      <c r="G50" t="inlineStr">
        <is>
          <t>requirements.benchmark = english_proficiency_alternative</t>
        </is>
      </c>
    </row>
    <row r="51" ht="30" customHeight="1">
      <c r="A51" t="inlineStr"/>
      <c r="B51" t="inlineStr">
        <is>
          <t>instruction_language</t>
        </is>
      </c>
      <c r="C51" t="inlineStr">
        <is>
          <t>The language courses are taught in. Only write it if the page says it.</t>
        </is>
      </c>
      <c r="D51" t="inlineStr">
        <is>
          <t>Academics or admissions page.</t>
        </is>
      </c>
      <c r="E51" t="inlineStr">
        <is>
          <t>Text or not_reported</t>
        </is>
      </c>
      <c r="F51" t="inlineStr">
        <is>
          <t>English</t>
        </is>
      </c>
      <c r="G51" t="inlineStr">
        <is>
          <t>university_facts / language</t>
        </is>
      </c>
    </row>
    <row r="52" ht="15" customHeight="1">
      <c r="A52" s="3" t="inlineStr">
        <is>
          <t>English: source</t>
        </is>
      </c>
      <c r="B52" t="inlineStr">
        <is>
          <t>lang_source_url</t>
        </is>
      </c>
      <c r="C52" t="inlineStr">
        <is>
          <t>Page this group came from.</t>
        </is>
      </c>
      <c r="D52" t="inlineStr">
        <is>
          <t>You.</t>
        </is>
      </c>
      <c r="E52" t="inlineStr">
        <is>
          <t>Full link</t>
        </is>
      </c>
      <c r="F52" t="inlineStr">
        <is>
          <t>https://example.edu/admissions/english</t>
        </is>
      </c>
      <c r="G52" t="inlineStr">
        <is>
          <t>sources.url</t>
        </is>
      </c>
    </row>
    <row r="53" ht="15" customHeight="1">
      <c r="A53" t="inlineStr"/>
      <c r="B53" t="inlineStr">
        <is>
          <t>lang_retrieved_on</t>
        </is>
      </c>
      <c r="C53" t="inlineStr">
        <is>
          <t>Day you read that page.</t>
        </is>
      </c>
      <c r="D53" t="inlineStr">
        <is>
          <t>You.</t>
        </is>
      </c>
      <c r="E53" t="inlineStr">
        <is>
          <t>YYYY-MM-DD</t>
        </is>
      </c>
      <c r="F53" t="inlineStr">
        <is>
          <t>2026-10-10</t>
        </is>
      </c>
      <c r="G53" t="inlineStr">
        <is>
          <t>sources.retrieved_at</t>
        </is>
      </c>
    </row>
    <row r="54" ht="45" customHeight="1">
      <c r="A54" s="3" t="inlineStr">
        <is>
          <t>Scholarships</t>
        </is>
      </c>
      <c r="B54" t="inlineStr">
        <is>
          <t>has_intl_scholarships</t>
        </is>
      </c>
      <c r="C54" t="inlineStr">
        <is>
          <t>Are there scholarships an international student can get? If yes, write each one on the Scholarships tab.</t>
        </is>
      </c>
      <c r="D54" t="inlineStr">
        <is>
          <t>Scholarships page.</t>
        </is>
      </c>
      <c r="E54" t="inlineStr">
        <is>
          <t>yes / no / not_reported</t>
        </is>
      </c>
      <c r="F54" t="inlineStr">
        <is>
          <t>yes</t>
        </is>
      </c>
      <c r="G54" t="inlineStr">
        <is>
          <t>university_facts / scholarship</t>
        </is>
      </c>
    </row>
    <row r="55" ht="15" customHeight="1">
      <c r="A55" s="3" t="inlineStr">
        <is>
          <t>Scholarships: source</t>
        </is>
      </c>
      <c r="B55" t="inlineStr">
        <is>
          <t>schol_source_url</t>
        </is>
      </c>
      <c r="C55" t="inlineStr">
        <is>
          <t>Page this group came from.</t>
        </is>
      </c>
      <c r="D55" t="inlineStr">
        <is>
          <t>You.</t>
        </is>
      </c>
      <c r="E55" t="inlineStr">
        <is>
          <t>Full link</t>
        </is>
      </c>
      <c r="F55" t="inlineStr">
        <is>
          <t>https://example.edu/aid/scholarships</t>
        </is>
      </c>
      <c r="G55" t="inlineStr">
        <is>
          <t>sources.url</t>
        </is>
      </c>
    </row>
    <row r="56" ht="15" customHeight="1">
      <c r="A56" t="inlineStr"/>
      <c r="B56" t="inlineStr">
        <is>
          <t>schol_retrieved_on</t>
        </is>
      </c>
      <c r="C56" t="inlineStr">
        <is>
          <t>Day you read that page.</t>
        </is>
      </c>
      <c r="D56" t="inlineStr">
        <is>
          <t>You.</t>
        </is>
      </c>
      <c r="E56" t="inlineStr">
        <is>
          <t>YYYY-MM-DD</t>
        </is>
      </c>
      <c r="F56" t="inlineStr">
        <is>
          <t>2026-10-10</t>
        </is>
      </c>
      <c r="G56" t="inlineStr">
        <is>
          <t>sources.retrieved_at</t>
        </is>
      </c>
    </row>
    <row r="57" ht="15" customHeight="1">
      <c r="A57" s="3" t="inlineStr">
        <is>
          <t>Outcomes</t>
        </is>
      </c>
      <c r="B57" t="inlineStr">
        <is>
          <t>employability_rate_pct</t>
        </is>
      </c>
      <c r="C57" t="inlineStr">
        <is>
          <t>Percent of graduates employed or in further study.</t>
        </is>
      </c>
      <c r="D57" t="inlineStr">
        <is>
          <t>Career outcomes page.</t>
        </is>
      </c>
      <c r="E57" t="inlineStr">
        <is>
          <t>Number, one decimal, or not_reported</t>
        </is>
      </c>
      <c r="F57" t="inlineStr">
        <is>
          <t>94.0</t>
        </is>
      </c>
      <c r="G57" t="inlineStr">
        <is>
          <t>university_facts / employability_rate</t>
        </is>
      </c>
    </row>
    <row r="58" ht="15" customHeight="1">
      <c r="A58" t="inlineStr"/>
      <c r="B58" t="inlineStr">
        <is>
          <t>employability_summary</t>
        </is>
      </c>
      <c r="C58" t="inlineStr">
        <is>
          <t>One short sentence, in their own words.</t>
        </is>
      </c>
      <c r="D58" t="inlineStr">
        <is>
          <t>Same page.</t>
        </is>
      </c>
      <c r="E58" t="inlineStr">
        <is>
          <t>Short text or not_reported</t>
        </is>
      </c>
      <c r="F58" t="inlineStr">
        <is>
          <t>94% employed or in graduate school within 6 months</t>
        </is>
      </c>
      <c r="G58" t="inlineStr">
        <is>
          <t>university_facts / employability_summary</t>
        </is>
      </c>
    </row>
    <row r="59" ht="15" customHeight="1">
      <c r="A59" t="inlineStr"/>
      <c r="B59" t="inlineStr">
        <is>
          <t>faculty_count</t>
        </is>
      </c>
      <c r="C59" t="inlineStr">
        <is>
          <t>Number of faculty.</t>
        </is>
      </c>
      <c r="D59" t="inlineStr">
        <is>
          <t>Facts or about page.</t>
        </is>
      </c>
      <c r="E59" t="inlineStr">
        <is>
          <t>Digits or not_reported</t>
        </is>
      </c>
      <c r="F59" t="inlineStr">
        <is>
          <t>1200</t>
        </is>
      </c>
      <c r="G59" t="inlineStr">
        <is>
          <t>university_facts / faculty_count</t>
        </is>
      </c>
    </row>
    <row r="60" ht="15" customHeight="1">
      <c r="A60" s="3" t="inlineStr">
        <is>
          <t>Outcomes: source</t>
        </is>
      </c>
      <c r="B60" t="inlineStr">
        <is>
          <t>out_source_url</t>
        </is>
      </c>
      <c r="C60" t="inlineStr">
        <is>
          <t>Page this group came from.</t>
        </is>
      </c>
      <c r="D60" t="inlineStr">
        <is>
          <t>You.</t>
        </is>
      </c>
      <c r="E60" t="inlineStr">
        <is>
          <t>Full link</t>
        </is>
      </c>
      <c r="F60" t="inlineStr">
        <is>
          <t>https://example.edu/careers/outcomes</t>
        </is>
      </c>
      <c r="G60" t="inlineStr">
        <is>
          <t>sources.url</t>
        </is>
      </c>
    </row>
    <row r="61" ht="15" customHeight="1">
      <c r="A61" t="inlineStr"/>
      <c r="B61" t="inlineStr">
        <is>
          <t>out_retrieved_on</t>
        </is>
      </c>
      <c r="C61" t="inlineStr">
        <is>
          <t>Day you read that page.</t>
        </is>
      </c>
      <c r="D61" t="inlineStr">
        <is>
          <t>You.</t>
        </is>
      </c>
      <c r="E61" t="inlineStr">
        <is>
          <t>YYYY-MM-DD</t>
        </is>
      </c>
      <c r="F61" t="inlineStr">
        <is>
          <t>2026-10-10</t>
        </is>
      </c>
      <c r="G61" t="inlineStr">
        <is>
          <t>sources.retrieved_at</t>
        </is>
      </c>
    </row>
    <row r="62" ht="30" customHeight="1">
      <c r="A62" s="3" t="inlineStr">
        <is>
          <t>Notes</t>
        </is>
      </c>
      <c r="B62" t="inlineStr">
        <is>
          <t>collector_notes</t>
        </is>
      </c>
      <c r="C62" t="inlineStr">
        <is>
          <t>Anything odd: an old page, a number with a footnote, two pages that disagree.</t>
        </is>
      </c>
      <c r="D62" t="inlineStr">
        <is>
          <t>You.</t>
        </is>
      </c>
      <c r="E62" t="inlineStr">
        <is>
          <t>Short text</t>
        </is>
      </c>
      <c r="F62" t="inlineStr">
        <is>
          <t>Nothing unusual</t>
        </is>
      </c>
      <c r="G62" t="inlineStr">
        <is>
          <t>-</t>
        </is>
      </c>
    </row>
    <row r="63" ht="30" customHeight="1">
      <c r="A63" s="15" t="inlineStr">
        <is>
          <t>Checks</t>
        </is>
      </c>
      <c r="B63" s="15" t="inlineStr">
        <is>
          <t>cost_check</t>
        </is>
      </c>
      <c r="C63" s="15" t="inlineStr">
        <is>
          <t>Does tuition + fees + room and board match the published total?</t>
        </is>
      </c>
      <c r="D63" s="15" t="inlineStr">
        <is>
          <t>Fills itself.</t>
        </is>
      </c>
      <c r="E63" s="15" t="inlineStr">
        <is>
          <t>Do not type here</t>
        </is>
      </c>
      <c r="F63" s="15" t="inlineStr"/>
      <c r="G63" s="15" t="inlineStr">
        <is>
          <t>-</t>
        </is>
      </c>
    </row>
    <row r="64" ht="30" customHeight="1">
      <c r="A64" s="15" t="inlineStr">
        <is>
          <t>Checks</t>
        </is>
      </c>
      <c r="B64" s="15" t="inlineStr">
        <is>
          <t>living_check</t>
        </is>
      </c>
      <c r="C64" s="15" t="inlineStr">
        <is>
          <t>Do the living cost parts add up to the living cost total?</t>
        </is>
      </c>
      <c r="D64" s="15" t="inlineStr">
        <is>
          <t>Fills itself.</t>
        </is>
      </c>
      <c r="E64" s="15" t="inlineStr">
        <is>
          <t>Do not type here</t>
        </is>
      </c>
      <c r="F64" s="15" t="inlineStr"/>
      <c r="G64" s="15" t="inlineStr">
        <is>
          <t>-</t>
        </is>
      </c>
    </row>
    <row r="65" ht="15" customHeight="1">
      <c r="A65" s="15" t="inlineStr">
        <is>
          <t>Checks</t>
        </is>
      </c>
      <c r="B65" s="15" t="inlineStr">
        <is>
          <t>pct_complete</t>
        </is>
      </c>
      <c r="C65" s="15" t="inlineStr">
        <is>
          <t>Share of this row's cells that hold something.</t>
        </is>
      </c>
      <c r="D65" s="15" t="inlineStr">
        <is>
          <t>Fills itself.</t>
        </is>
      </c>
      <c r="E65" s="15" t="inlineStr">
        <is>
          <t>Do not type here</t>
        </is>
      </c>
      <c r="F65" s="15" t="inlineStr"/>
      <c r="G65" s="15" t="inlineStr">
        <is>
          <t>-</t>
        </is>
      </c>
    </row>
    <row r="67">
      <c r="A67" s="19" t="inlineStr">
        <is>
          <t>Scholarships tab</t>
        </is>
      </c>
    </row>
    <row r="68" ht="15" customHeight="1">
      <c r="A68" s="3" t="inlineStr">
        <is>
          <t>Which university</t>
        </is>
      </c>
      <c r="B68" t="inlineStr">
        <is>
          <t>status</t>
        </is>
      </c>
      <c r="C68" t="inlineStr">
        <is>
          <t>Where this row stands.</t>
        </is>
      </c>
      <c r="D68" t="inlineStr">
        <is>
          <t>You.</t>
        </is>
      </c>
      <c r="E68" t="inlineStr">
        <is>
          <t>not started / in progress / done</t>
        </is>
      </c>
      <c r="F68" t="inlineStr">
        <is>
          <t>done</t>
        </is>
      </c>
      <c r="G68" t="inlineStr">
        <is>
          <t>-</t>
        </is>
      </c>
    </row>
    <row r="69" ht="15" customHeight="1">
      <c r="A69" t="inlineStr"/>
      <c r="B69" t="inlineStr">
        <is>
          <t>unitid</t>
        </is>
      </c>
      <c r="C69" t="inlineStr">
        <is>
          <t>Same unitid as the university's row.</t>
        </is>
      </c>
      <c r="D69" t="inlineStr">
        <is>
          <t>The Universities tab.</t>
        </is>
      </c>
      <c r="E69" t="inlineStr">
        <is>
          <t>6 digits</t>
        </is>
      </c>
      <c r="F69" t="inlineStr">
        <is>
          <t>999999</t>
        </is>
      </c>
      <c r="G69" t="inlineStr">
        <is>
          <t>university_scholarships.university_id</t>
        </is>
      </c>
    </row>
    <row r="70" ht="15" customHeight="1">
      <c r="A70" t="inlineStr"/>
      <c r="B70" t="inlineStr">
        <is>
          <t>university_name</t>
        </is>
      </c>
      <c r="C70" t="inlineStr">
        <is>
          <t>To help you read the sheet.</t>
        </is>
      </c>
      <c r="D70" t="inlineStr">
        <is>
          <t>The Universities tab.</t>
        </is>
      </c>
      <c r="E70" t="inlineStr">
        <is>
          <t>Text</t>
        </is>
      </c>
      <c r="F70" t="inlineStr">
        <is>
          <t>EXAMPLE ROW - do not copy</t>
        </is>
      </c>
      <c r="G70" t="inlineStr">
        <is>
          <t>-</t>
        </is>
      </c>
    </row>
    <row r="71" ht="15" customHeight="1">
      <c r="A71" s="3" t="inlineStr">
        <is>
          <t>Scholarships</t>
        </is>
      </c>
      <c r="B71" t="inlineStr">
        <is>
          <t>scholarship_name</t>
        </is>
      </c>
      <c r="C71" t="inlineStr">
        <is>
          <t>The exact name the university uses.</t>
        </is>
      </c>
      <c r="D71" t="inlineStr">
        <is>
          <t>Scholarships page.</t>
        </is>
      </c>
      <c r="E71" t="inlineStr">
        <is>
          <t>Text</t>
        </is>
      </c>
      <c r="F71" t="inlineStr">
        <is>
          <t>Example Merit Award</t>
        </is>
      </c>
      <c r="G71" t="inlineStr">
        <is>
          <t>scholarships.name</t>
        </is>
      </c>
    </row>
    <row r="72" ht="15" customHeight="1">
      <c r="A72" t="inlineStr"/>
      <c r="B72" t="inlineStr">
        <is>
          <t>open_to_international</t>
        </is>
      </c>
      <c r="C72" t="inlineStr">
        <is>
          <t>Can an international applicant receive it?</t>
        </is>
      </c>
      <c r="D72" t="inlineStr">
        <is>
          <t>Same page.</t>
        </is>
      </c>
      <c r="E72" t="inlineStr">
        <is>
          <t>yes / no / not_reported</t>
        </is>
      </c>
      <c r="F72" t="inlineStr">
        <is>
          <t>yes</t>
        </is>
      </c>
      <c r="G72" t="inlineStr">
        <is>
          <t>-</t>
        </is>
      </c>
    </row>
    <row r="73" ht="15" customHeight="1">
      <c r="A73" t="inlineStr"/>
      <c r="B73" t="inlineStr">
        <is>
          <t>amount_value</t>
        </is>
      </c>
      <c r="C73" t="inlineStr">
        <is>
          <t>The amount exactly as it is written on the page.</t>
        </is>
      </c>
      <c r="D73" t="inlineStr">
        <is>
          <t>Same page.</t>
        </is>
      </c>
      <c r="E73" t="inlineStr">
        <is>
          <t>Text</t>
        </is>
      </c>
      <c r="F73" t="inlineStr">
        <is>
          <t>Up to 20,000 USD per year</t>
        </is>
      </c>
      <c r="G73" t="inlineStr">
        <is>
          <t>scholarships.amount_value</t>
        </is>
      </c>
    </row>
    <row r="74" ht="30" customHeight="1">
      <c r="A74" t="inlineStr"/>
      <c r="B74" t="inlineStr">
        <is>
          <t>amount_numeric</t>
        </is>
      </c>
      <c r="C74" t="inlineStr">
        <is>
          <t>The same amount as a plain number. If it is a range, use the largest.</t>
        </is>
      </c>
      <c r="D74" t="inlineStr">
        <is>
          <t>Same page.</t>
        </is>
      </c>
      <c r="E74" t="inlineStr">
        <is>
          <t>Whole number or not_reported</t>
        </is>
      </c>
      <c r="F74" t="inlineStr">
        <is>
          <t>20000</t>
        </is>
      </c>
      <c r="G74" t="inlineStr">
        <is>
          <t>scholarships.amount_numeric</t>
        </is>
      </c>
    </row>
    <row r="75" ht="15" customHeight="1">
      <c r="A75" t="inlineStr"/>
      <c r="B75" t="inlineStr">
        <is>
          <t>currency</t>
        </is>
      </c>
      <c r="C75" t="inlineStr">
        <is>
          <t>Almost always USD.</t>
        </is>
      </c>
      <c r="D75" t="inlineStr">
        <is>
          <t>Same page.</t>
        </is>
      </c>
      <c r="E75" t="inlineStr">
        <is>
          <t>3 letters</t>
        </is>
      </c>
      <c r="F75" t="inlineStr">
        <is>
          <t>USD</t>
        </is>
      </c>
      <c r="G75" t="inlineStr">
        <is>
          <t>scholarships.currency</t>
        </is>
      </c>
    </row>
    <row r="76" ht="15" customHeight="1">
      <c r="A76" t="inlineStr"/>
      <c r="B76" t="inlineStr">
        <is>
          <t>amount_period</t>
        </is>
      </c>
      <c r="C76" t="inlineStr">
        <is>
          <t>Is it yearly, one time, or for the whole degree?</t>
        </is>
      </c>
      <c r="D76" t="inlineStr">
        <is>
          <t>Same page.</t>
        </is>
      </c>
      <c r="E76" t="inlineStr">
        <is>
          <t>per year / one time / whole degree</t>
        </is>
      </c>
      <c r="F76" t="inlineStr">
        <is>
          <t>per year</t>
        </is>
      </c>
      <c r="G76" t="inlineStr">
        <is>
          <t>scholarships.amount_period</t>
        </is>
      </c>
    </row>
    <row r="77" ht="30" customHeight="1">
      <c r="A77" s="3" t="inlineStr">
        <is>
          <t>Conditions to win it</t>
        </is>
      </c>
      <c r="B77" t="inlineStr">
        <is>
          <t>condition_1_kind</t>
        </is>
      </c>
      <c r="C77" t="inlineStr">
        <is>
          <t>If the page publishes a number a student must reach, put the test here.</t>
        </is>
      </c>
      <c r="D77" t="inlineStr">
        <is>
          <t>Same page.</t>
        </is>
      </c>
      <c r="E77" t="inlineStr">
        <is>
          <t>sat / act / gpa / toefl / ielts / duolingo</t>
        </is>
      </c>
      <c r="F77" t="inlineStr">
        <is>
          <t>sat</t>
        </is>
      </c>
      <c r="G77" t="inlineStr">
        <is>
          <t>award_conditions.kind</t>
        </is>
      </c>
    </row>
    <row r="78" ht="15" customHeight="1">
      <c r="A78" t="inlineStr"/>
      <c r="B78" t="inlineStr">
        <is>
          <t>condition_1_minimum</t>
        </is>
      </c>
      <c r="C78" t="inlineStr">
        <is>
          <t>The number they must reach.</t>
        </is>
      </c>
      <c r="D78" t="inlineStr">
        <is>
          <t>Same page.</t>
        </is>
      </c>
      <c r="E78" t="inlineStr">
        <is>
          <t>Number</t>
        </is>
      </c>
      <c r="F78" t="inlineStr">
        <is>
          <t>1450</t>
        </is>
      </c>
      <c r="G78" t="inlineStr">
        <is>
          <t>award_conditions.minimum</t>
        </is>
      </c>
    </row>
    <row r="79" ht="15" customHeight="1">
      <c r="A79" t="inlineStr"/>
      <c r="B79" t="inlineStr">
        <is>
          <t>condition_1_text</t>
        </is>
      </c>
      <c r="C79" t="inlineStr">
        <is>
          <t>The condition copied in the university's own words.</t>
        </is>
      </c>
      <c r="D79" t="inlineStr">
        <is>
          <t>Same page.</t>
        </is>
      </c>
      <c r="E79" t="inlineStr">
        <is>
          <t>Short text</t>
        </is>
      </c>
      <c r="F79" t="inlineStr">
        <is>
          <t>SAT 1450 or higher</t>
        </is>
      </c>
      <c r="G79" t="inlineStr">
        <is>
          <t>award_conditions.published_text</t>
        </is>
      </c>
    </row>
    <row r="80" ht="15" customHeight="1">
      <c r="A80" t="inlineStr"/>
      <c r="B80" t="inlineStr">
        <is>
          <t>condition_2_kind</t>
        </is>
      </c>
      <c r="C80" t="inlineStr">
        <is>
          <t>Second condition, if there is one.</t>
        </is>
      </c>
      <c r="D80" t="inlineStr">
        <is>
          <t>Same page.</t>
        </is>
      </c>
      <c r="E80" t="inlineStr">
        <is>
          <t>Same list, or leave empty</t>
        </is>
      </c>
      <c r="F80" t="inlineStr">
        <is>
          <t>gpa</t>
        </is>
      </c>
      <c r="G80" t="inlineStr">
        <is>
          <t>award_conditions.kind</t>
        </is>
      </c>
    </row>
    <row r="81" ht="15" customHeight="1">
      <c r="A81" t="inlineStr"/>
      <c r="B81" t="inlineStr">
        <is>
          <t>condition_2_minimum</t>
        </is>
      </c>
      <c r="C81" t="inlineStr">
        <is>
          <t>The number.</t>
        </is>
      </c>
      <c r="D81" t="inlineStr">
        <is>
          <t>Same page.</t>
        </is>
      </c>
      <c r="E81" t="inlineStr">
        <is>
          <t>Number</t>
        </is>
      </c>
      <c r="F81" t="inlineStr">
        <is>
          <t>3.5</t>
        </is>
      </c>
      <c r="G81" t="inlineStr">
        <is>
          <t>award_conditions.minimum</t>
        </is>
      </c>
    </row>
    <row r="82" ht="15" customHeight="1">
      <c r="A82" t="inlineStr"/>
      <c r="B82" t="inlineStr">
        <is>
          <t>condition_2_text</t>
        </is>
      </c>
      <c r="C82" t="inlineStr">
        <is>
          <t>Their words.</t>
        </is>
      </c>
      <c r="D82" t="inlineStr">
        <is>
          <t>Same page.</t>
        </is>
      </c>
      <c r="E82" t="inlineStr">
        <is>
          <t>Short text</t>
        </is>
      </c>
      <c r="F82" t="inlineStr">
        <is>
          <t>Minimum 3.5 GPA</t>
        </is>
      </c>
      <c r="G82" t="inlineStr">
        <is>
          <t>award_conditions.published_text</t>
        </is>
      </c>
    </row>
    <row r="83" ht="15" customHeight="1">
      <c r="A83" t="inlineStr"/>
      <c r="B83" t="inlineStr">
        <is>
          <t>condition_3_kind</t>
        </is>
      </c>
      <c r="C83" t="inlineStr">
        <is>
          <t>Third condition, if there is one.</t>
        </is>
      </c>
      <c r="D83" t="inlineStr">
        <is>
          <t>Same page.</t>
        </is>
      </c>
      <c r="E83" t="inlineStr">
        <is>
          <t>Same list, or leave empty</t>
        </is>
      </c>
      <c r="F83" t="inlineStr"/>
      <c r="G83" t="inlineStr">
        <is>
          <t>award_conditions.kind</t>
        </is>
      </c>
    </row>
    <row r="84" ht="15" customHeight="1">
      <c r="A84" t="inlineStr"/>
      <c r="B84" t="inlineStr">
        <is>
          <t>condition_3_minimum</t>
        </is>
      </c>
      <c r="C84" t="inlineStr">
        <is>
          <t>The number.</t>
        </is>
      </c>
      <c r="D84" t="inlineStr">
        <is>
          <t>Same page.</t>
        </is>
      </c>
      <c r="E84" t="inlineStr">
        <is>
          <t>Number</t>
        </is>
      </c>
      <c r="F84" t="inlineStr"/>
      <c r="G84" t="inlineStr">
        <is>
          <t>award_conditions.minimum</t>
        </is>
      </c>
    </row>
    <row r="85" ht="15" customHeight="1">
      <c r="A85" t="inlineStr"/>
      <c r="B85" t="inlineStr">
        <is>
          <t>condition_3_text</t>
        </is>
      </c>
      <c r="C85" t="inlineStr">
        <is>
          <t>Their words.</t>
        </is>
      </c>
      <c r="D85" t="inlineStr">
        <is>
          <t>Same page.</t>
        </is>
      </c>
      <c r="E85" t="inlineStr">
        <is>
          <t>Short text</t>
        </is>
      </c>
      <c r="F85" t="inlineStr"/>
      <c r="G85" t="inlineStr">
        <is>
          <t>award_conditions.published_text</t>
        </is>
      </c>
    </row>
    <row r="86" ht="15" customHeight="1">
      <c r="A86" s="3" t="inlineStr">
        <is>
          <t>Scholarships: source</t>
        </is>
      </c>
      <c r="B86" t="inlineStr">
        <is>
          <t>schol_source_url</t>
        </is>
      </c>
      <c r="C86" t="inlineStr">
        <is>
          <t>The page for this scholarship.</t>
        </is>
      </c>
      <c r="D86" t="inlineStr">
        <is>
          <t>You.</t>
        </is>
      </c>
      <c r="E86" t="inlineStr">
        <is>
          <t>Full link</t>
        </is>
      </c>
      <c r="F86" t="inlineStr">
        <is>
          <t>https://example.edu/aid/example-merit-award</t>
        </is>
      </c>
      <c r="G86" t="inlineStr">
        <is>
          <t>sources.url</t>
        </is>
      </c>
    </row>
    <row r="87" ht="15" customHeight="1">
      <c r="A87" t="inlineStr"/>
      <c r="B87" t="inlineStr">
        <is>
          <t>schol_retrieved_on</t>
        </is>
      </c>
      <c r="C87" t="inlineStr">
        <is>
          <t>Day you read that page.</t>
        </is>
      </c>
      <c r="D87" t="inlineStr">
        <is>
          <t>You.</t>
        </is>
      </c>
      <c r="E87" t="inlineStr">
        <is>
          <t>YYYY-MM-DD</t>
        </is>
      </c>
      <c r="F87" t="inlineStr">
        <is>
          <t>2026-10-10</t>
        </is>
      </c>
      <c r="G87" t="inlineStr">
        <is>
          <t>sources.retrieved_at</t>
        </is>
      </c>
    </row>
    <row r="88" ht="15" customHeight="1">
      <c r="A88" s="3" t="inlineStr">
        <is>
          <t>Notes</t>
        </is>
      </c>
      <c r="B88" t="inlineStr">
        <is>
          <t>notes</t>
        </is>
      </c>
      <c r="C88" t="inlineStr">
        <is>
          <t>Anything unclear about this award.</t>
        </is>
      </c>
      <c r="D88" t="inlineStr">
        <is>
          <t>You.</t>
        </is>
      </c>
      <c r="E88" t="inlineStr">
        <is>
          <t>Short text</t>
        </is>
      </c>
      <c r="F88" t="inlineStr">
        <is>
          <t>Nothing unusual</t>
        </is>
      </c>
      <c r="G88" t="inlineStr">
        <is>
          <t>-</t>
        </is>
      </c>
    </row>
    <row r="89" ht="15" customHeight="1">
      <c r="A89" s="15" t="inlineStr">
        <is>
          <t>Checks</t>
        </is>
      </c>
      <c r="B89" s="15" t="inlineStr">
        <is>
          <t>pct_complete</t>
        </is>
      </c>
      <c r="C89" s="15" t="inlineStr">
        <is>
          <t>Share of this row's cells that hold something.</t>
        </is>
      </c>
      <c r="D89" s="15" t="inlineStr">
        <is>
          <t>Fills itself.</t>
        </is>
      </c>
      <c r="E89" s="15" t="inlineStr">
        <is>
          <t>Do not type here</t>
        </is>
      </c>
      <c r="F89" s="15" t="inlineStr"/>
      <c r="G89" s="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2026-10-04T15:39:16Z</dcterms:created>
  <dcterms:modified xmlns:dcterms="http://purl.org/dc/terms/" xmlns:xsi="http://www.w3.org/2001/XMLSchema-instance" xsi:type="dcterms:W3CDTF">2026-10-04T15:39:16Z</dcterms:modified>
</cp:coreProperties>
</file>