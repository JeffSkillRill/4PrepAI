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abdujafar/Desktop/SAT/4PrepAI/"/>
    </mc:Choice>
  </mc:AlternateContent>
  <xr:revisionPtr revIDLastSave="0" documentId="13_ncr:1_{F19A3F1E-D706-9346-8C36-8824D0EB906B}" xr6:coauthVersionLast="47" xr6:coauthVersionMax="47" xr10:uidLastSave="{00000000-0000-0000-0000-000000000000}"/>
  <bookViews>
    <workbookView minimized="1" xWindow="0" yWindow="760" windowWidth="38400" windowHeight="22560" xr2:uid="{00000000-000D-0000-FFFF-FFFF00000000}"/>
  </bookViews>
  <sheets>
    <sheet name="Instructions" sheetId="1" r:id="rId1"/>
    <sheet name="TEMPLATE - copy me" sheetId="2" r:id="rId2"/>
    <sheet name="EXAMPLE - Princeton" sheetId="3" r:id="rId3"/>
    <sheet name="Fix these first" sheetId="4" r:id="rId4"/>
    <sheet name="Progress tracker" sheetId="5" r:id="rId5"/>
  </sheets>
  <definedNames>
    <definedName name="_xlnm.Print_Titles" localSheetId="2">'EXAMPLE - Princeton'!$11:$11</definedName>
    <definedName name="_xlnm.Print_Titles" localSheetId="1">'TEMPLATE - copy me'!$11:$11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" i="3" l="1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E5" i="3"/>
  <c r="E4" i="3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E5" i="2"/>
  <c r="E4" i="2"/>
</calcChain>
</file>

<file path=xl/sharedStrings.xml><?xml version="1.0" encoding="utf-8"?>
<sst xmlns="http://schemas.openxmlformats.org/spreadsheetml/2006/main" count="418" uniqueCount="218">
  <si>
    <t>4Prep — University data collection</t>
  </si>
  <si>
    <t>How to use this file</t>
  </si>
  <si>
    <t>The rule that matters most</t>
  </si>
  <si>
    <t>NEVER guess a number. Do not estimate, round, calculate or copy from Google or ChatGPT.</t>
  </si>
  <si>
    <t>Write only what is printed on the university's OWN website, and always paste the link.</t>
  </si>
  <si>
    <t>If you cannot find something, that is fine and normal. Leave the answer empty and fill in the two</t>
  </si>
  <si>
    <t>'IF MISSING' columns instead. That is a finished, correct answer. An invented number is not.</t>
  </si>
  <si>
    <t>How to work</t>
  </si>
  <si>
    <t>1.</t>
  </si>
  <si>
    <t>Right-click the tab 'TEMPLATE — copy me' and choose Move or Copy &gt; Create a copy.</t>
  </si>
  <si>
    <t>2.</t>
  </si>
  <si>
    <t>Rename the new tab with the university name, e.g. 'Clark'.</t>
  </si>
  <si>
    <t>3.</t>
  </si>
  <si>
    <t>Fill the yellow boxes at the top, then work down the 19 rows.</t>
  </si>
  <si>
    <t>4.</t>
  </si>
  <si>
    <t>For each row fill EITHER (Your answer + Link + Date checked) OR (Why missing + Who to ask).</t>
  </si>
  <si>
    <t>5.</t>
  </si>
  <si>
    <t>Save each page you used as a PDF into the university's folder, and write the file name.</t>
  </si>
  <si>
    <t>6.</t>
  </si>
  <si>
    <t>The Status column turns green when a row is correct. Do not send the sheet with any orange row.</t>
  </si>
  <si>
    <t>7.</t>
  </si>
  <si>
    <t>See the tab 'EXAMPLE — Princeton' for a fully finished university.</t>
  </si>
  <si>
    <t>Which websites are allowed</t>
  </si>
  <si>
    <t>USE ONLY</t>
  </si>
  <si>
    <t>The university's own website: admissions, international admissions, financial aid, student accounts, course catalogue. Official PDF files hosted on that same website.</t>
  </si>
  <si>
    <t>NEVER USE</t>
  </si>
  <si>
    <t>US News, Niche, BigFuture, Wikipedia, Shiksha, YouTube, forums, agency or consultant blogs, ChatGPT, Perplexity, Google cache, archived copies.</t>
  </si>
  <si>
    <t>Simple test</t>
  </si>
  <si>
    <t>Open your link in a new browser window. If you cannot see the number on that page with your own eyes, the link is not acceptable — and the item counts as missing.</t>
  </si>
  <si>
    <t>Writing a missing item properly</t>
  </si>
  <si>
    <t>Why it is missing</t>
  </si>
  <si>
    <t>Say what you checked. GOOD: 'Yale does not publish a single visa financial-proof amount on its admissions or cost pages.'  BAD: 'N/A', 'not found', 'no information'.</t>
  </si>
  <si>
    <t>Who to ask</t>
  </si>
  <si>
    <t>Name a real office. GOOD: "Ask Yale's Office of International Students and Scholars for the amount required."  BAD: 'contact the university'.</t>
  </si>
  <si>
    <t>Two things people get wrong</t>
  </si>
  <si>
    <t>Minimum vs typical</t>
  </si>
  <si>
    <t>'Minimum IELTS 7 required' and 'our strongest applicants usually have IELTS 7' mean completely different things. Copy the sentence the university actually wrote.</t>
  </si>
  <si>
    <t>GPA scales</t>
  </si>
  <si>
    <t>Never convert GPA between the 4.0 scale and the 5-point scale. Write the number exactly as published.</t>
  </si>
  <si>
    <t>Colour legend</t>
  </si>
  <si>
    <t>Yellow cells</t>
  </si>
  <si>
    <t>You type here.</t>
  </si>
  <si>
    <t>Grey cells</t>
  </si>
  <si>
    <t>Instructions and examples — do not change them.</t>
  </si>
  <si>
    <t>Green status</t>
  </si>
  <si>
    <t>Row is correct and finished.</t>
  </si>
  <si>
    <t>Orange status</t>
  </si>
  <si>
    <t>Row is half-filled — fix it before sending.</t>
  </si>
  <si>
    <t>Questions, or a university that publishes almost nothing? Ask Jeff before spending a day on it.</t>
  </si>
  <si>
    <t>University data collection sheet</t>
  </si>
  <si>
    <t>Fill the yellow boxes. Every row needs EITHER an answer + link + date, OR a reason + who to ask.</t>
  </si>
  <si>
    <t>University name</t>
  </si>
  <si>
    <t>Rows finished</t>
  </si>
  <si>
    <t>City, State</t>
  </si>
  <si>
    <t>Rows to fix</t>
  </si>
  <si>
    <t>Official website</t>
  </si>
  <si>
    <t>Researcher</t>
  </si>
  <si>
    <t>Date started</t>
  </si>
  <si>
    <t>#</t>
  </si>
  <si>
    <t>Group</t>
  </si>
  <si>
    <t>What to find</t>
  </si>
  <si>
    <t>Where to look on the website</t>
  </si>
  <si>
    <t>Example of a good answer</t>
  </si>
  <si>
    <t>YOUR ANSWER</t>
  </si>
  <si>
    <t>LINK — page where you saw it</t>
  </si>
  <si>
    <t>DATE CHECKED</t>
  </si>
  <si>
    <t>IF MISSING — why it is missing</t>
  </si>
  <si>
    <t>IF MISSING — who to ask</t>
  </si>
  <si>
    <t>Saved PDF file name</t>
  </si>
  <si>
    <t>Status</t>
  </si>
  <si>
    <t>Money and dates</t>
  </si>
  <si>
    <t>Tuition — price of study for one year, for an international student</t>
  </si>
  <si>
    <t>"Cost of Attendance" / "Tuition and Fees" / Student Accounts page</t>
  </si>
  <si>
    <t>$62,226 / year (2026-27)</t>
  </si>
  <si>
    <t>Mandatory fees — extra required fees, separate from tuition</t>
  </si>
  <si>
    <t>Same page as tuition</t>
  </si>
  <si>
    <t>$6,216 / year (2026-27)</t>
  </si>
  <si>
    <t>Housing and food — cost of living on campus for one year</t>
  </si>
  <si>
    <t>Cost of Attendance</t>
  </si>
  <si>
    <t>$14,250 housing + $8,942 food / year (2026-27)</t>
  </si>
  <si>
    <t>Total cost per year — the total the university itself prints. NEVER add the numbers up yourself.</t>
  </si>
  <si>
    <t>$94,624 / year (2026-27)</t>
  </si>
  <si>
    <t>Application fee — and whether a waiver (free application) exists</t>
  </si>
  <si>
    <t>"Apply" / "First-Year Applicants"</t>
  </si>
  <si>
    <t>$90 one time; fee waiver available</t>
  </si>
  <si>
    <t>Application deadline for international first-year students</t>
  </si>
  <si>
    <t>"Apply" / "Deadlines"</t>
  </si>
  <si>
    <t>Regular Decision: January 1</t>
  </si>
  <si>
    <t>Start terms — when an international student can begin</t>
  </si>
  <si>
    <t>"Apply" / International Admissions</t>
  </si>
  <si>
    <t>Fall, spring and summer entry</t>
  </si>
  <si>
    <t>Language of study, and whether an English test is required</t>
  </si>
  <si>
    <t>International Admissions</t>
  </si>
  <si>
    <t>English; an English test is required if schooling was not in English</t>
  </si>
  <si>
    <t>Financial aid for international students — do they give it, and on what basis? Copy their own words. Do NOT write an amount here.</t>
  </si>
  <si>
    <t>Financial Aid / International</t>
  </si>
  <si>
    <t>Need-blind; the university meets 100% of demonstrated need for international students</t>
  </si>
  <si>
    <t>SAT / ACT policy — required, optional, or not accepted — AND for which entry year</t>
  </si>
  <si>
    <t>"Standardized Testing"</t>
  </si>
  <si>
    <t>Test optional for fall 2027 entry; SAT or ACT required from fall 2028</t>
  </si>
  <si>
    <t>Visa money proof (I-20 amount) — how much money the student must show for the F-1 visa</t>
  </si>
  <si>
    <t>International Student Services / "Financial Requirements for International Students"</t>
  </si>
  <si>
    <t>$22,980 for a first-year self-sponsored F-1 student</t>
  </si>
  <si>
    <t>Entry requirements</t>
  </si>
  <si>
    <t>IELTS minimum</t>
  </si>
  <si>
    <t>International Admissions / English Proficiency</t>
  </si>
  <si>
    <t>Minimum IELTS 6.5 required</t>
  </si>
  <si>
    <t>TOEFL minimum</t>
  </si>
  <si>
    <t>Minimum TOEFL iBT 79 required</t>
  </si>
  <si>
    <t>Duolingo minimum</t>
  </si>
  <si>
    <t>Duolingo accepted, minimum 105</t>
  </si>
  <si>
    <t>SAT expectation</t>
  </si>
  <si>
    <t>Required; no minimum score is published</t>
  </si>
  <si>
    <t>ACT expectation</t>
  </si>
  <si>
    <t>GPA minimum</t>
  </si>
  <si>
    <t>Admission Requirements</t>
  </si>
  <si>
    <t>Minimum 2.5 GPA on a 4.0 scale</t>
  </si>
  <si>
    <t>Programme &amp; scholarships</t>
  </si>
  <si>
    <t>One degree programme — name, degree type, field</t>
  </si>
  <si>
    <t>Official course catalogue (a real programme page, not a department page)</t>
  </si>
  <si>
    <t>Computer Science, Associate of Science, Computer Science</t>
  </si>
  <si>
    <t>At least one scholarship open to international students — exact official name and amount</t>
  </si>
  <si>
    <t>Scholarships / Financial Aid / International</t>
  </si>
  <si>
    <t>Illinois Wesleyan International Merit Scholarship — up to $38,000 / year</t>
  </si>
  <si>
    <t>Reminder: all money in US dollars. Never convert to som. Never calculate a total yourself. Always include the academic year, e.g. (2026-27), wherever the university writes it.</t>
  </si>
  <si>
    <t>Princeton University</t>
  </si>
  <si>
    <t>Princeton, New Jersey</t>
  </si>
  <si>
    <t>https://admission.princeton.edu</t>
  </si>
  <si>
    <t>Example</t>
  </si>
  <si>
    <t>2026-07-28</t>
  </si>
  <si>
    <t>$68,140 / year (2026-27)</t>
  </si>
  <si>
    <t>https://admission.princeton.edu/cost-aid/fees-payment-options</t>
  </si>
  <si>
    <t>us-princeton-cost.pdf</t>
  </si>
  <si>
    <t>$314 / year (2026-27)</t>
  </si>
  <si>
    <t>$13,010 housing + $9,110 food / year (2026-27)</t>
  </si>
  <si>
    <t>$75 one time; fee waiver available</t>
  </si>
  <si>
    <t>https://admission.princeton.edu/apply/counselors</t>
  </si>
  <si>
    <t>us-princeton-counselors.pdf</t>
  </si>
  <si>
    <t>https://admission.princeton.edu/apply/questbridge</t>
  </si>
  <si>
    <t>us-princeton-questbridge.pdf</t>
  </si>
  <si>
    <t>Fall first-year entry only</t>
  </si>
  <si>
    <t>English; an English-proficiency test is required when schooling has not been in English</t>
  </si>
  <si>
    <t>https://admission.princeton.edu/apply/international-students</t>
  </si>
  <si>
    <t>us-princeton-international.pdf</t>
  </si>
  <si>
    <t>Need-blind; full demonstrated need is met for admitted international students, under the same policy used for U.S. students</t>
  </si>
  <si>
    <t>Test optional for fall 2027 entry; SAT or ACT required beginning with fall 2028 entry</t>
  </si>
  <si>
    <t>https://admission.princeton.edu/apply/standardized-testing</t>
  </si>
  <si>
    <t>us-princeton-testing.pdf</t>
  </si>
  <si>
    <t>Princeton does not publish a single undergraduate I-20 financial-certification amount on its admissions or cost pages.</t>
  </si>
  <si>
    <t>Ask the Davis International Center for the amount required after Princeton grant aid.</t>
  </si>
  <si>
    <t>Accepted; Princeton publishes no minimum IELTS score</t>
  </si>
  <si>
    <t>Accepted; Princeton publishes no minimum TOEFL score</t>
  </si>
  <si>
    <t>Accepted; Princeton publishes no minimum Duolingo score</t>
  </si>
  <si>
    <t>Optional for fall 2027 entry; required from fall 2028. No minimum score published</t>
  </si>
  <si>
    <t>Princeton does not publish a minimum first-year GPA on its admissions requirements pages.</t>
  </si>
  <si>
    <t>Ask Princeton Undergraduate Admission how the applicant's school record will be evaluated.</t>
  </si>
  <si>
    <t>Computer Science, Bachelor of Science in Engineering, Computer Science</t>
  </si>
  <si>
    <t>https://www.cs.princeton.edu/ugrad/undergraduate-degrees-requirements</t>
  </si>
  <si>
    <t>us-princeton-cs.pdf</t>
  </si>
  <si>
    <t>Princeton need-based grant aid is calculated individually from demonstrated need, so no single amount is published.</t>
  </si>
  <si>
    <t>Complete Princeton's financial-aid application to receive a personal award amount.</t>
  </si>
  <si>
    <t>Open gaps in universities already published</t>
  </si>
  <si>
    <t>These 10 universities are live in the product today. Each line is a number a student currently cannot see. Do these before adding new universities.</t>
  </si>
  <si>
    <t>University</t>
  </si>
  <si>
    <t>What is missing</t>
  </si>
  <si>
    <t>Date asked</t>
  </si>
  <si>
    <t>Reply received</t>
  </si>
  <si>
    <t>New answer</t>
  </si>
  <si>
    <t>Link</t>
  </si>
  <si>
    <t>Harvard University</t>
  </si>
  <si>
    <t>Visa money proof (I-20 amount)</t>
  </si>
  <si>
    <t>Harvard International Office</t>
  </si>
  <si>
    <t>Harvard Undergraduate Admissions</t>
  </si>
  <si>
    <t>Yale University</t>
  </si>
  <si>
    <t>Application fee</t>
  </si>
  <si>
    <t>Yale Undergraduate Admissions</t>
  </si>
  <si>
    <t>Total cost per year (one official total)</t>
  </si>
  <si>
    <t>Yale Financial Aid</t>
  </si>
  <si>
    <t>Yale Office of International Students and Scholars</t>
  </si>
  <si>
    <t>Davis International Center</t>
  </si>
  <si>
    <t>Princeton Undergraduate Admission</t>
  </si>
  <si>
    <t>Berea College</t>
  </si>
  <si>
    <t>Mandatory fees, listed separately</t>
  </si>
  <si>
    <t>Berea Student Accounts</t>
  </si>
  <si>
    <t>Application deadline for international students</t>
  </si>
  <si>
    <t>Berea International Admissions</t>
  </si>
  <si>
    <t>Start terms</t>
  </si>
  <si>
    <t>Visa money proof (I-20 amount), after aid</t>
  </si>
  <si>
    <t>Berea International Student Services</t>
  </si>
  <si>
    <t>Illinois Wesleyan University</t>
  </si>
  <si>
    <t>Total cost per year (one official 2026-27 total)</t>
  </si>
  <si>
    <t>IWU Student Accounts</t>
  </si>
  <si>
    <t>Visa money proof (I-20 amount), current year</t>
  </si>
  <si>
    <t>IWU International Office</t>
  </si>
  <si>
    <t>IWU International Admissions</t>
  </si>
  <si>
    <t>Clark University</t>
  </si>
  <si>
    <t>Visa money proof (I-20 amount), after scholarship</t>
  </si>
  <si>
    <t>Clark International Student Services</t>
  </si>
  <si>
    <t>Clark Undergraduate Admissions</t>
  </si>
  <si>
    <t>University of Alabama</t>
  </si>
  <si>
    <t>Total cost per year (2026-27 nonresident)</t>
  </si>
  <si>
    <t>UA Student Accounts</t>
  </si>
  <si>
    <t>University of Nebraska at Kearney</t>
  </si>
  <si>
    <t>Mandatory fees, split out of the $18,193 tuition-and-fees bundle</t>
  </si>
  <si>
    <t>UNK Student Accounts</t>
  </si>
  <si>
    <t>Houston City College</t>
  </si>
  <si>
    <t>HCC International Student Services</t>
  </si>
  <si>
    <t>Scholarship for international students, eligibility and amount</t>
  </si>
  <si>
    <t>HCC Foundation</t>
  </si>
  <si>
    <t>Note: Harvard, Yale and Princeton calculate aid individually, so their aid AMOUNT can never be published. That gap stays open on purpose.</t>
  </si>
  <si>
    <t>Universities</t>
  </si>
  <si>
    <t>One line per university. Add a line when you start a new one.</t>
  </si>
  <si>
    <t>Why this university is worth adding</t>
  </si>
  <si>
    <t>Date finished</t>
  </si>
  <si>
    <t>Rows answered</t>
  </si>
  <si>
    <t>Rows missing</t>
  </si>
  <si>
    <t>Checked by Jeff</t>
  </si>
  <si>
    <t>Before starting a university, check all four: it enrols F-1 undergraduates and has an international admissions page; it publishes costs for the coming academic year; it publishes English requirements; it publishes at least one aid or scholarship route open to international students. If more than 6 of the 19 rows look likely to be missing, ask Jeff first.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</si>
</sst>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6"/>
      <color rgb="FF14352A"/>
      <name val="Arial"/>
    </font>
    <font>
      <sz val="10"/>
      <color rgb="FF5C6B60"/>
      <name val="Arial"/>
    </font>
    <font>
      <b/>
      <sz val="11.5"/>
      <color rgb="FF14352A"/>
      <name val="Arial"/>
    </font>
    <font>
      <b/>
      <sz val="10"/>
      <color rgb="FF24503F"/>
      <name val="Arial"/>
    </font>
    <font>
      <sz val="10"/>
      <name val="Arial"/>
    </font>
    <font>
      <i/>
      <sz val="10"/>
      <color rgb="FFB4531D"/>
      <name val="Arial"/>
    </font>
    <font>
      <b/>
      <sz val="11"/>
      <color rgb="FF24503F"/>
      <name val="Arial"/>
    </font>
    <font>
      <b/>
      <sz val="10"/>
      <color rgb="FFB4531D"/>
      <name val="Arial"/>
    </font>
    <font>
      <b/>
      <sz val="11"/>
      <color rgb="FFB4531D"/>
      <name val="Arial"/>
    </font>
    <font>
      <b/>
      <sz val="9.5"/>
      <color rgb="FFFFFFFF"/>
      <name val="Arial"/>
    </font>
    <font>
      <sz val="9.5"/>
      <color rgb="FF1C2B22"/>
      <name val="Arial"/>
    </font>
    <font>
      <sz val="9.5"/>
      <color rgb="FF24503F"/>
      <name val="Arial"/>
    </font>
    <font>
      <sz val="9.5"/>
      <name val="Arial"/>
    </font>
    <font>
      <b/>
      <sz val="9.5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9DB"/>
      </patternFill>
    </fill>
    <fill>
      <patternFill patternType="solid">
        <fgColor rgb="FF14352A"/>
      </patternFill>
    </fill>
    <fill>
      <patternFill patternType="solid">
        <fgColor rgb="FFF6F7F4"/>
      </patternFill>
    </fill>
  </fills>
  <borders count="2">
    <border>
      <left/>
      <right/>
      <top/>
      <bottom/>
      <diagonal/>
    </border>
    <border>
      <left style="thin">
        <color rgb="FFDDE3DC"/>
      </left>
      <right style="thin">
        <color rgb="FFDDE3DC"/>
      </right>
      <top style="thin">
        <color rgb="FFDDE3DC"/>
      </top>
      <bottom style="thin">
        <color rgb="FFDDE3D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horizontal="right"/>
    </xf>
    <xf numFmtId="0" fontId="5" fillId="2" borderId="1" xfId="0" applyFont="1" applyFill="1" applyBorder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10" fillId="3" borderId="1" xfId="0" applyFont="1" applyFill="1" applyBorder="1" applyAlignment="1">
      <alignment vertical="center" wrapText="1"/>
    </xf>
    <xf numFmtId="0" fontId="11" fillId="4" borderId="1" xfId="0" applyFont="1" applyFill="1" applyBorder="1" applyAlignment="1">
      <alignment horizontal="center" vertical="top"/>
    </xf>
    <xf numFmtId="0" fontId="11" fillId="4" borderId="1" xfId="0" applyFont="1" applyFill="1" applyBorder="1" applyAlignment="1">
      <alignment vertical="top" wrapText="1"/>
    </xf>
    <xf numFmtId="0" fontId="12" fillId="4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vertical="top" wrapText="1"/>
    </xf>
    <xf numFmtId="0" fontId="14" fillId="0" borderId="1" xfId="0" applyFont="1" applyBorder="1" applyAlignment="1">
      <alignment vertical="center" wrapText="1"/>
    </xf>
    <xf numFmtId="0" fontId="13" fillId="4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3" fillId="0" borderId="0" xfId="0" applyFont="1"/>
    <xf numFmtId="0" fontId="0" fillId="0" borderId="0" xfId="0"/>
    <xf numFmtId="0" fontId="6" fillId="0" borderId="0" xfId="0" applyFont="1"/>
    <xf numFmtId="0" fontId="4" fillId="0" borderId="0" xfId="0" applyFont="1" applyAlignment="1">
      <alignment horizontal="right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6">
    <dxf>
      <fill>
        <patternFill patternType="solid">
          <fgColor rgb="FFEEEEEE"/>
        </patternFill>
      </fill>
    </dxf>
    <dxf>
      <fill>
        <patternFill patternType="solid">
          <fgColor rgb="FFFBD9C4"/>
        </patternFill>
      </fill>
    </dxf>
    <dxf>
      <fill>
        <patternFill patternType="solid">
          <fgColor rgb="FFDDF0E3"/>
        </patternFill>
      </fill>
    </dxf>
    <dxf>
      <fill>
        <patternFill patternType="solid">
          <fgColor rgb="FFEEEEEE"/>
        </patternFill>
      </fill>
    </dxf>
    <dxf>
      <fill>
        <patternFill patternType="solid">
          <fgColor rgb="FFFBD9C4"/>
        </patternFill>
      </fill>
    </dxf>
    <dxf>
      <fill>
        <patternFill patternType="solid">
          <fgColor rgb="FFDDF0E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showGridLines="0" tabSelected="1" topLeftCell="A4" workbookViewId="0"/>
  </sheetViews>
  <sheetFormatPr baseColWidth="10" defaultColWidth="8.83203125" defaultRowHeight="15" x14ac:dyDescent="0.2"/>
  <cols>
    <col min="1" max="1" width="4" customWidth="1"/>
    <col min="2" max="2" width="30" customWidth="1"/>
    <col min="3" max="3" width="95" customWidth="1"/>
  </cols>
  <sheetData>
    <row r="1" spans="1:3" ht="24" customHeight="1" x14ac:dyDescent="0.2">
      <c r="A1" s="1" t="s">
        <v>0</v>
      </c>
    </row>
    <row r="2" spans="1:3" ht="16" customHeight="1" x14ac:dyDescent="0.2">
      <c r="A2" s="2" t="s">
        <v>1</v>
      </c>
    </row>
    <row r="4" spans="1:3" ht="20" customHeight="1" x14ac:dyDescent="0.2">
      <c r="B4" s="18" t="s">
        <v>2</v>
      </c>
      <c r="C4" s="19"/>
    </row>
    <row r="5" spans="1:3" ht="15" customHeight="1" x14ac:dyDescent="0.2">
      <c r="B5" s="3"/>
      <c r="C5" s="4" t="s">
        <v>3</v>
      </c>
    </row>
    <row r="6" spans="1:3" ht="15" customHeight="1" x14ac:dyDescent="0.2">
      <c r="B6" s="3"/>
      <c r="C6" s="4" t="s">
        <v>4</v>
      </c>
    </row>
    <row r="7" spans="1:3" ht="15" customHeight="1" x14ac:dyDescent="0.2">
      <c r="B7" s="3"/>
      <c r="C7" s="4" t="s">
        <v>5</v>
      </c>
    </row>
    <row r="8" spans="1:3" ht="15" customHeight="1" x14ac:dyDescent="0.2">
      <c r="B8" s="3"/>
      <c r="C8" s="4" t="s">
        <v>6</v>
      </c>
    </row>
    <row r="10" spans="1:3" ht="20" customHeight="1" x14ac:dyDescent="0.2">
      <c r="B10" s="18" t="s">
        <v>7</v>
      </c>
      <c r="C10" s="19"/>
    </row>
    <row r="11" spans="1:3" ht="15" customHeight="1" x14ac:dyDescent="0.2">
      <c r="B11" s="3" t="s">
        <v>8</v>
      </c>
      <c r="C11" s="4" t="s">
        <v>9</v>
      </c>
    </row>
    <row r="12" spans="1:3" ht="15" customHeight="1" x14ac:dyDescent="0.2">
      <c r="B12" s="3" t="s">
        <v>10</v>
      </c>
      <c r="C12" s="4" t="s">
        <v>11</v>
      </c>
    </row>
    <row r="13" spans="1:3" ht="15" customHeight="1" x14ac:dyDescent="0.2">
      <c r="B13" s="3" t="s">
        <v>12</v>
      </c>
      <c r="C13" s="4" t="s">
        <v>13</v>
      </c>
    </row>
    <row r="14" spans="1:3" ht="15" customHeight="1" x14ac:dyDescent="0.2">
      <c r="B14" s="3" t="s">
        <v>14</v>
      </c>
      <c r="C14" s="4" t="s">
        <v>15</v>
      </c>
    </row>
    <row r="15" spans="1:3" ht="15" customHeight="1" x14ac:dyDescent="0.2">
      <c r="B15" s="3" t="s">
        <v>16</v>
      </c>
      <c r="C15" s="4" t="s">
        <v>17</v>
      </c>
    </row>
    <row r="16" spans="1:3" ht="15" customHeight="1" x14ac:dyDescent="0.2">
      <c r="B16" s="3" t="s">
        <v>18</v>
      </c>
      <c r="C16" s="4" t="s">
        <v>19</v>
      </c>
    </row>
    <row r="17" spans="2:3" ht="15" customHeight="1" x14ac:dyDescent="0.2">
      <c r="B17" s="3" t="s">
        <v>20</v>
      </c>
      <c r="C17" s="4" t="s">
        <v>21</v>
      </c>
    </row>
    <row r="19" spans="2:3" ht="20" customHeight="1" x14ac:dyDescent="0.2">
      <c r="B19" s="18" t="s">
        <v>22</v>
      </c>
      <c r="C19" s="19"/>
    </row>
    <row r="20" spans="2:3" ht="28" customHeight="1" x14ac:dyDescent="0.2">
      <c r="B20" s="3" t="s">
        <v>23</v>
      </c>
      <c r="C20" s="4" t="s">
        <v>24</v>
      </c>
    </row>
    <row r="21" spans="2:3" ht="28" customHeight="1" x14ac:dyDescent="0.2">
      <c r="B21" s="3" t="s">
        <v>25</v>
      </c>
      <c r="C21" s="4" t="s">
        <v>26</v>
      </c>
    </row>
    <row r="22" spans="2:3" ht="28" customHeight="1" x14ac:dyDescent="0.2">
      <c r="B22" s="3" t="s">
        <v>27</v>
      </c>
      <c r="C22" s="4" t="s">
        <v>28</v>
      </c>
    </row>
    <row r="24" spans="2:3" ht="20" customHeight="1" x14ac:dyDescent="0.2">
      <c r="B24" s="18" t="s">
        <v>29</v>
      </c>
      <c r="C24" s="19"/>
    </row>
    <row r="25" spans="2:3" ht="28" customHeight="1" x14ac:dyDescent="0.2">
      <c r="B25" s="3" t="s">
        <v>30</v>
      </c>
      <c r="C25" s="4" t="s">
        <v>31</v>
      </c>
    </row>
    <row r="26" spans="2:3" ht="28" customHeight="1" x14ac:dyDescent="0.2">
      <c r="B26" s="3" t="s">
        <v>32</v>
      </c>
      <c r="C26" s="4" t="s">
        <v>33</v>
      </c>
    </row>
    <row r="28" spans="2:3" ht="20" customHeight="1" x14ac:dyDescent="0.2">
      <c r="B28" s="18" t="s">
        <v>34</v>
      </c>
      <c r="C28" s="19"/>
    </row>
    <row r="29" spans="2:3" ht="28" customHeight="1" x14ac:dyDescent="0.2">
      <c r="B29" s="3" t="s">
        <v>35</v>
      </c>
      <c r="C29" s="4" t="s">
        <v>36</v>
      </c>
    </row>
    <row r="30" spans="2:3" ht="28" customHeight="1" x14ac:dyDescent="0.2">
      <c r="B30" s="3" t="s">
        <v>37</v>
      </c>
      <c r="C30" s="4" t="s">
        <v>38</v>
      </c>
    </row>
    <row r="32" spans="2:3" ht="20" customHeight="1" x14ac:dyDescent="0.2">
      <c r="B32" s="18" t="s">
        <v>39</v>
      </c>
      <c r="C32" s="19"/>
    </row>
    <row r="33" spans="2:3" ht="15" customHeight="1" x14ac:dyDescent="0.2">
      <c r="B33" s="3" t="s">
        <v>40</v>
      </c>
      <c r="C33" s="4" t="s">
        <v>41</v>
      </c>
    </row>
    <row r="34" spans="2:3" ht="15" customHeight="1" x14ac:dyDescent="0.2">
      <c r="B34" s="3" t="s">
        <v>42</v>
      </c>
      <c r="C34" s="4" t="s">
        <v>43</v>
      </c>
    </row>
    <row r="35" spans="2:3" ht="15" customHeight="1" x14ac:dyDescent="0.2">
      <c r="B35" s="3" t="s">
        <v>44</v>
      </c>
      <c r="C35" s="4" t="s">
        <v>45</v>
      </c>
    </row>
    <row r="36" spans="2:3" ht="15" customHeight="1" x14ac:dyDescent="0.2">
      <c r="B36" s="3" t="s">
        <v>46</v>
      </c>
      <c r="C36" s="4" t="s">
        <v>47</v>
      </c>
    </row>
    <row r="38" spans="2:3" x14ac:dyDescent="0.2">
      <c r="B38" s="20" t="s">
        <v>48</v>
      </c>
      <c r="C38" s="19"/>
    </row>
  </sheetData>
  <mergeCells count="7">
    <mergeCell ref="B4:C4"/>
    <mergeCell ref="B24:C24"/>
    <mergeCell ref="B38:C38"/>
    <mergeCell ref="B19:C19"/>
    <mergeCell ref="B10:C10"/>
    <mergeCell ref="B28:C28"/>
    <mergeCell ref="B32:C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2"/>
  <sheetViews>
    <sheetView showGridLines="0" workbookViewId="0">
      <pane xSplit="5" ySplit="11" topLeftCell="F12" activePane="bottomRight" state="frozen"/>
      <selection pane="topRight"/>
      <selection pane="bottomLeft"/>
      <selection pane="bottomRight" activeCell="C13" sqref="C13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3" width="40" customWidth="1"/>
    <col min="4" max="4" width="34" customWidth="1"/>
    <col min="5" max="6" width="40" customWidth="1"/>
    <col min="7" max="7" width="34" customWidth="1"/>
    <col min="8" max="8" width="12" customWidth="1"/>
    <col min="9" max="10" width="40" customWidth="1"/>
    <col min="11" max="11" width="20" customWidth="1"/>
    <col min="12" max="12" width="22" customWidth="1"/>
  </cols>
  <sheetData>
    <row r="1" spans="1:12" ht="24" customHeight="1" x14ac:dyDescent="0.2">
      <c r="A1" s="1" t="s">
        <v>49</v>
      </c>
    </row>
    <row r="2" spans="1:12" ht="16" customHeight="1" x14ac:dyDescent="0.2">
      <c r="A2" s="2" t="s">
        <v>50</v>
      </c>
    </row>
    <row r="4" spans="1:12" x14ac:dyDescent="0.2">
      <c r="A4" s="21" t="s">
        <v>51</v>
      </c>
      <c r="B4" s="19"/>
      <c r="C4" s="6"/>
      <c r="D4" s="5" t="s">
        <v>52</v>
      </c>
      <c r="E4" s="7" t="str">
        <f>COUNTIF(L12:L30,"OK*")&amp;" of 19"</f>
        <v>0 of 19</v>
      </c>
    </row>
    <row r="5" spans="1:12" x14ac:dyDescent="0.2">
      <c r="A5" s="21" t="s">
        <v>53</v>
      </c>
      <c r="B5" s="19"/>
      <c r="C5" s="6"/>
      <c r="D5" s="8" t="s">
        <v>54</v>
      </c>
      <c r="E5" s="9">
        <f>COUNTIF(L12:L30,"FIX*")</f>
        <v>0</v>
      </c>
    </row>
    <row r="6" spans="1:12" x14ac:dyDescent="0.2">
      <c r="A6" s="21" t="s">
        <v>55</v>
      </c>
      <c r="B6" s="19"/>
      <c r="C6" s="6"/>
    </row>
    <row r="7" spans="1:12" x14ac:dyDescent="0.2">
      <c r="A7" s="21" t="s">
        <v>56</v>
      </c>
      <c r="B7" s="19"/>
      <c r="C7" s="6"/>
    </row>
    <row r="8" spans="1:12" x14ac:dyDescent="0.2">
      <c r="A8" s="21" t="s">
        <v>57</v>
      </c>
      <c r="B8" s="19"/>
      <c r="C8" s="6"/>
    </row>
    <row r="11" spans="1:12" ht="30" customHeight="1" x14ac:dyDescent="0.2">
      <c r="A11" s="10" t="s">
        <v>58</v>
      </c>
      <c r="B11" s="10" t="s">
        <v>59</v>
      </c>
      <c r="C11" s="10" t="s">
        <v>60</v>
      </c>
      <c r="D11" s="10" t="s">
        <v>61</v>
      </c>
      <c r="E11" s="10" t="s">
        <v>62</v>
      </c>
      <c r="F11" s="10" t="s">
        <v>63</v>
      </c>
      <c r="G11" s="10" t="s">
        <v>64</v>
      </c>
      <c r="H11" s="10" t="s">
        <v>65</v>
      </c>
      <c r="I11" s="10" t="s">
        <v>66</v>
      </c>
      <c r="J11" s="10" t="s">
        <v>67</v>
      </c>
      <c r="K11" s="10" t="s">
        <v>68</v>
      </c>
      <c r="L11" s="10" t="s">
        <v>69</v>
      </c>
    </row>
    <row r="12" spans="1:12" ht="34" customHeight="1" x14ac:dyDescent="0.2">
      <c r="A12" s="11">
        <v>1</v>
      </c>
      <c r="B12" s="12" t="s">
        <v>70</v>
      </c>
      <c r="C12" s="12" t="s">
        <v>71</v>
      </c>
      <c r="D12" s="12" t="s">
        <v>72</v>
      </c>
      <c r="E12" s="13" t="s">
        <v>73</v>
      </c>
      <c r="F12" s="14"/>
      <c r="G12" s="14"/>
      <c r="H12" s="14"/>
      <c r="I12" s="14"/>
      <c r="J12" s="14"/>
      <c r="K12" s="14"/>
      <c r="L12" s="15" t="str">
        <f t="shared" ref="L12:L30" si="0">IF(AND(F12&lt;&gt;"",G12&lt;&gt;"",H12&lt;&gt;"",I12="",J12=""),"OK - answered",IF(AND(F12="",G12="",I12&lt;&gt;"",J12&lt;&gt;""),"OK - missing, recorded",IF(COUNTA(F12:J12)=0,"not started","FIX - half filled")))</f>
        <v>not started</v>
      </c>
    </row>
    <row r="13" spans="1:12" ht="34" customHeight="1" x14ac:dyDescent="0.2">
      <c r="A13" s="11">
        <v>2</v>
      </c>
      <c r="B13" s="12" t="s">
        <v>70</v>
      </c>
      <c r="C13" s="12" t="s">
        <v>74</v>
      </c>
      <c r="D13" s="12" t="s">
        <v>75</v>
      </c>
      <c r="E13" s="13" t="s">
        <v>76</v>
      </c>
      <c r="F13" s="14"/>
      <c r="G13" s="14"/>
      <c r="H13" s="14"/>
      <c r="I13" s="14"/>
      <c r="J13" s="14"/>
      <c r="K13" s="14"/>
      <c r="L13" s="15" t="str">
        <f t="shared" si="0"/>
        <v>not started</v>
      </c>
    </row>
    <row r="14" spans="1:12" ht="34" customHeight="1" x14ac:dyDescent="0.2">
      <c r="A14" s="11">
        <v>3</v>
      </c>
      <c r="B14" s="12" t="s">
        <v>70</v>
      </c>
      <c r="C14" s="12" t="s">
        <v>77</v>
      </c>
      <c r="D14" s="12" t="s">
        <v>78</v>
      </c>
      <c r="E14" s="13" t="s">
        <v>79</v>
      </c>
      <c r="F14" s="14"/>
      <c r="G14" s="14"/>
      <c r="H14" s="14"/>
      <c r="I14" s="14"/>
      <c r="J14" s="14"/>
      <c r="K14" s="14"/>
      <c r="L14" s="15" t="str">
        <f t="shared" si="0"/>
        <v>not started</v>
      </c>
    </row>
    <row r="15" spans="1:12" ht="34" customHeight="1" x14ac:dyDescent="0.2">
      <c r="A15" s="11">
        <v>4</v>
      </c>
      <c r="B15" s="12" t="s">
        <v>70</v>
      </c>
      <c r="C15" s="12" t="s">
        <v>80</v>
      </c>
      <c r="D15" s="12" t="s">
        <v>78</v>
      </c>
      <c r="E15" s="13" t="s">
        <v>81</v>
      </c>
      <c r="F15" s="14"/>
      <c r="G15" s="14"/>
      <c r="H15" s="14"/>
      <c r="I15" s="14"/>
      <c r="J15" s="14"/>
      <c r="K15" s="14"/>
      <c r="L15" s="15" t="str">
        <f t="shared" si="0"/>
        <v>not started</v>
      </c>
    </row>
    <row r="16" spans="1:12" ht="34" customHeight="1" x14ac:dyDescent="0.2">
      <c r="A16" s="11">
        <v>5</v>
      </c>
      <c r="B16" s="12" t="s">
        <v>70</v>
      </c>
      <c r="C16" s="12" t="s">
        <v>82</v>
      </c>
      <c r="D16" s="12" t="s">
        <v>83</v>
      </c>
      <c r="E16" s="13" t="s">
        <v>84</v>
      </c>
      <c r="F16" s="14"/>
      <c r="G16" s="14"/>
      <c r="H16" s="14"/>
      <c r="I16" s="14"/>
      <c r="J16" s="14"/>
      <c r="K16" s="14"/>
      <c r="L16" s="15" t="str">
        <f t="shared" si="0"/>
        <v>not started</v>
      </c>
    </row>
    <row r="17" spans="1:12" ht="34" customHeight="1" x14ac:dyDescent="0.2">
      <c r="A17" s="11">
        <v>6</v>
      </c>
      <c r="B17" s="12" t="s">
        <v>70</v>
      </c>
      <c r="C17" s="12" t="s">
        <v>85</v>
      </c>
      <c r="D17" s="12" t="s">
        <v>86</v>
      </c>
      <c r="E17" s="13" t="s">
        <v>87</v>
      </c>
      <c r="F17" s="14"/>
      <c r="G17" s="14"/>
      <c r="H17" s="14"/>
      <c r="I17" s="14"/>
      <c r="J17" s="14"/>
      <c r="K17" s="14"/>
      <c r="L17" s="15" t="str">
        <f t="shared" si="0"/>
        <v>not started</v>
      </c>
    </row>
    <row r="18" spans="1:12" ht="34" customHeight="1" x14ac:dyDescent="0.2">
      <c r="A18" s="11">
        <v>7</v>
      </c>
      <c r="B18" s="12" t="s">
        <v>70</v>
      </c>
      <c r="C18" s="12" t="s">
        <v>88</v>
      </c>
      <c r="D18" s="12" t="s">
        <v>89</v>
      </c>
      <c r="E18" s="13" t="s">
        <v>90</v>
      </c>
      <c r="F18" s="14"/>
      <c r="G18" s="14"/>
      <c r="H18" s="14"/>
      <c r="I18" s="14"/>
      <c r="J18" s="14"/>
      <c r="K18" s="14"/>
      <c r="L18" s="15" t="str">
        <f t="shared" si="0"/>
        <v>not started</v>
      </c>
    </row>
    <row r="19" spans="1:12" ht="34" customHeight="1" x14ac:dyDescent="0.2">
      <c r="A19" s="11">
        <v>8</v>
      </c>
      <c r="B19" s="12" t="s">
        <v>70</v>
      </c>
      <c r="C19" s="12" t="s">
        <v>91</v>
      </c>
      <c r="D19" s="12" t="s">
        <v>92</v>
      </c>
      <c r="E19" s="13" t="s">
        <v>93</v>
      </c>
      <c r="F19" s="14"/>
      <c r="G19" s="14"/>
      <c r="H19" s="14"/>
      <c r="I19" s="14"/>
      <c r="J19" s="14"/>
      <c r="K19" s="14"/>
      <c r="L19" s="15" t="str">
        <f t="shared" si="0"/>
        <v>not started</v>
      </c>
    </row>
    <row r="20" spans="1:12" ht="34" customHeight="1" x14ac:dyDescent="0.2">
      <c r="A20" s="11">
        <v>9</v>
      </c>
      <c r="B20" s="12" t="s">
        <v>70</v>
      </c>
      <c r="C20" s="12" t="s">
        <v>94</v>
      </c>
      <c r="D20" s="12" t="s">
        <v>95</v>
      </c>
      <c r="E20" s="13" t="s">
        <v>96</v>
      </c>
      <c r="F20" s="14"/>
      <c r="G20" s="14"/>
      <c r="H20" s="14"/>
      <c r="I20" s="14"/>
      <c r="J20" s="14"/>
      <c r="K20" s="14"/>
      <c r="L20" s="15" t="str">
        <f t="shared" si="0"/>
        <v>not started</v>
      </c>
    </row>
    <row r="21" spans="1:12" ht="34" customHeight="1" x14ac:dyDescent="0.2">
      <c r="A21" s="11">
        <v>10</v>
      </c>
      <c r="B21" s="12" t="s">
        <v>70</v>
      </c>
      <c r="C21" s="12" t="s">
        <v>97</v>
      </c>
      <c r="D21" s="12" t="s">
        <v>98</v>
      </c>
      <c r="E21" s="13" t="s">
        <v>99</v>
      </c>
      <c r="F21" s="14"/>
      <c r="G21" s="14"/>
      <c r="H21" s="14"/>
      <c r="I21" s="14"/>
      <c r="J21" s="14"/>
      <c r="K21" s="14"/>
      <c r="L21" s="15" t="str">
        <f t="shared" si="0"/>
        <v>not started</v>
      </c>
    </row>
    <row r="22" spans="1:12" ht="34" customHeight="1" x14ac:dyDescent="0.2">
      <c r="A22" s="11">
        <v>11</v>
      </c>
      <c r="B22" s="12" t="s">
        <v>70</v>
      </c>
      <c r="C22" s="12" t="s">
        <v>100</v>
      </c>
      <c r="D22" s="12" t="s">
        <v>101</v>
      </c>
      <c r="E22" s="13" t="s">
        <v>102</v>
      </c>
      <c r="F22" s="14"/>
      <c r="G22" s="14"/>
      <c r="H22" s="14"/>
      <c r="I22" s="14"/>
      <c r="J22" s="14"/>
      <c r="K22" s="14"/>
      <c r="L22" s="15" t="str">
        <f t="shared" si="0"/>
        <v>not started</v>
      </c>
    </row>
    <row r="23" spans="1:12" ht="34" customHeight="1" x14ac:dyDescent="0.2">
      <c r="A23" s="11">
        <v>12</v>
      </c>
      <c r="B23" s="12" t="s">
        <v>103</v>
      </c>
      <c r="C23" s="12" t="s">
        <v>104</v>
      </c>
      <c r="D23" s="12" t="s">
        <v>105</v>
      </c>
      <c r="E23" s="13" t="s">
        <v>106</v>
      </c>
      <c r="F23" s="14"/>
      <c r="G23" s="14"/>
      <c r="H23" s="14"/>
      <c r="I23" s="14"/>
      <c r="J23" s="14"/>
      <c r="K23" s="14"/>
      <c r="L23" s="15" t="str">
        <f t="shared" si="0"/>
        <v>not started</v>
      </c>
    </row>
    <row r="24" spans="1:12" ht="34" customHeight="1" x14ac:dyDescent="0.2">
      <c r="A24" s="11">
        <v>13</v>
      </c>
      <c r="B24" s="12" t="s">
        <v>103</v>
      </c>
      <c r="C24" s="12" t="s">
        <v>107</v>
      </c>
      <c r="D24" s="12" t="s">
        <v>105</v>
      </c>
      <c r="E24" s="13" t="s">
        <v>108</v>
      </c>
      <c r="F24" s="14"/>
      <c r="G24" s="14"/>
      <c r="H24" s="14"/>
      <c r="I24" s="14"/>
      <c r="J24" s="14"/>
      <c r="K24" s="14"/>
      <c r="L24" s="15" t="str">
        <f t="shared" si="0"/>
        <v>not started</v>
      </c>
    </row>
    <row r="25" spans="1:12" ht="34" customHeight="1" x14ac:dyDescent="0.2">
      <c r="A25" s="11">
        <v>14</v>
      </c>
      <c r="B25" s="12" t="s">
        <v>103</v>
      </c>
      <c r="C25" s="12" t="s">
        <v>109</v>
      </c>
      <c r="D25" s="12" t="s">
        <v>105</v>
      </c>
      <c r="E25" s="13" t="s">
        <v>110</v>
      </c>
      <c r="F25" s="14"/>
      <c r="G25" s="14"/>
      <c r="H25" s="14"/>
      <c r="I25" s="14"/>
      <c r="J25" s="14"/>
      <c r="K25" s="14"/>
      <c r="L25" s="15" t="str">
        <f t="shared" si="0"/>
        <v>not started</v>
      </c>
    </row>
    <row r="26" spans="1:12" ht="34" customHeight="1" x14ac:dyDescent="0.2">
      <c r="A26" s="11">
        <v>15</v>
      </c>
      <c r="B26" s="12" t="s">
        <v>103</v>
      </c>
      <c r="C26" s="12" t="s">
        <v>111</v>
      </c>
      <c r="D26" s="12" t="s">
        <v>98</v>
      </c>
      <c r="E26" s="13" t="s">
        <v>112</v>
      </c>
      <c r="F26" s="14"/>
      <c r="G26" s="14"/>
      <c r="H26" s="14"/>
      <c r="I26" s="14"/>
      <c r="J26" s="14"/>
      <c r="K26" s="14"/>
      <c r="L26" s="15" t="str">
        <f t="shared" si="0"/>
        <v>not started</v>
      </c>
    </row>
    <row r="27" spans="1:12" ht="34" customHeight="1" x14ac:dyDescent="0.2">
      <c r="A27" s="11">
        <v>16</v>
      </c>
      <c r="B27" s="12" t="s">
        <v>103</v>
      </c>
      <c r="C27" s="12" t="s">
        <v>113</v>
      </c>
      <c r="D27" s="12" t="s">
        <v>98</v>
      </c>
      <c r="E27" s="13" t="s">
        <v>112</v>
      </c>
      <c r="F27" s="14"/>
      <c r="G27" s="14"/>
      <c r="H27" s="14"/>
      <c r="I27" s="14"/>
      <c r="J27" s="14"/>
      <c r="K27" s="14"/>
      <c r="L27" s="15" t="str">
        <f t="shared" si="0"/>
        <v>not started</v>
      </c>
    </row>
    <row r="28" spans="1:12" ht="34" customHeight="1" x14ac:dyDescent="0.2">
      <c r="A28" s="11">
        <v>17</v>
      </c>
      <c r="B28" s="12" t="s">
        <v>103</v>
      </c>
      <c r="C28" s="12" t="s">
        <v>114</v>
      </c>
      <c r="D28" s="12" t="s">
        <v>115</v>
      </c>
      <c r="E28" s="13" t="s">
        <v>116</v>
      </c>
      <c r="F28" s="14"/>
      <c r="G28" s="14"/>
      <c r="H28" s="14"/>
      <c r="I28" s="14"/>
      <c r="J28" s="14"/>
      <c r="K28" s="14"/>
      <c r="L28" s="15" t="str">
        <f t="shared" si="0"/>
        <v>not started</v>
      </c>
    </row>
    <row r="29" spans="1:12" ht="34" customHeight="1" x14ac:dyDescent="0.2">
      <c r="A29" s="11">
        <v>18</v>
      </c>
      <c r="B29" s="12" t="s">
        <v>117</v>
      </c>
      <c r="C29" s="12" t="s">
        <v>118</v>
      </c>
      <c r="D29" s="12" t="s">
        <v>119</v>
      </c>
      <c r="E29" s="13" t="s">
        <v>120</v>
      </c>
      <c r="F29" s="14"/>
      <c r="G29" s="14"/>
      <c r="H29" s="14"/>
      <c r="I29" s="14"/>
      <c r="J29" s="14"/>
      <c r="K29" s="14"/>
      <c r="L29" s="15" t="str">
        <f t="shared" si="0"/>
        <v>not started</v>
      </c>
    </row>
    <row r="30" spans="1:12" ht="34" customHeight="1" x14ac:dyDescent="0.2">
      <c r="A30" s="11">
        <v>19</v>
      </c>
      <c r="B30" s="12" t="s">
        <v>117</v>
      </c>
      <c r="C30" s="12" t="s">
        <v>121</v>
      </c>
      <c r="D30" s="12" t="s">
        <v>122</v>
      </c>
      <c r="E30" s="13" t="s">
        <v>123</v>
      </c>
      <c r="F30" s="14"/>
      <c r="G30" s="14"/>
      <c r="H30" s="14"/>
      <c r="I30" s="14"/>
      <c r="J30" s="14"/>
      <c r="K30" s="14"/>
      <c r="L30" s="15" t="str">
        <f t="shared" si="0"/>
        <v>not started</v>
      </c>
    </row>
    <row r="32" spans="1:12" x14ac:dyDescent="0.2">
      <c r="C32" s="20" t="s">
        <v>124</v>
      </c>
      <c r="D32" s="19"/>
      <c r="E32" s="19"/>
      <c r="F32" s="19"/>
      <c r="G32" s="19"/>
    </row>
  </sheetData>
  <mergeCells count="6">
    <mergeCell ref="A4:B4"/>
    <mergeCell ref="A7:B7"/>
    <mergeCell ref="C32:G32"/>
    <mergeCell ref="A5:B5"/>
    <mergeCell ref="A8:B8"/>
    <mergeCell ref="A6:B6"/>
  </mergeCells>
  <conditionalFormatting sqref="L12:L30">
    <cfRule type="expression" dxfId="5" priority="1">
      <formula>LEFT(L12,2)="OK"</formula>
    </cfRule>
    <cfRule type="expression" dxfId="4" priority="2">
      <formula>LEFT(L12,3)="FIX"</formula>
    </cfRule>
    <cfRule type="expression" dxfId="3" priority="3">
      <formula>L12="not started"</formula>
    </cfRule>
  </conditionalFormatting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32"/>
  <sheetViews>
    <sheetView showGridLines="0" workbookViewId="0">
      <pane xSplit="5" ySplit="11" topLeftCell="F1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4" customWidth="1"/>
    <col min="2" max="2" width="18" customWidth="1"/>
    <col min="3" max="3" width="40" customWidth="1"/>
    <col min="4" max="4" width="34" customWidth="1"/>
    <col min="5" max="6" width="40" customWidth="1"/>
    <col min="7" max="7" width="34" customWidth="1"/>
    <col min="8" max="8" width="12" customWidth="1"/>
    <col min="9" max="10" width="40" customWidth="1"/>
    <col min="11" max="11" width="20" customWidth="1"/>
    <col min="12" max="12" width="22" customWidth="1"/>
  </cols>
  <sheetData>
    <row r="1" spans="1:12" ht="24" customHeight="1" x14ac:dyDescent="0.2">
      <c r="A1" s="1" t="s">
        <v>49</v>
      </c>
    </row>
    <row r="2" spans="1:12" ht="16" customHeight="1" x14ac:dyDescent="0.2">
      <c r="A2" s="2" t="s">
        <v>50</v>
      </c>
    </row>
    <row r="4" spans="1:12" x14ac:dyDescent="0.2">
      <c r="A4" s="21" t="s">
        <v>51</v>
      </c>
      <c r="B4" s="19"/>
      <c r="C4" s="6" t="s">
        <v>125</v>
      </c>
      <c r="D4" s="5" t="s">
        <v>52</v>
      </c>
      <c r="E4" s="7" t="str">
        <f>COUNTIF(L12:L30,"OK*")&amp;" of 19"</f>
        <v>19 of 19</v>
      </c>
    </row>
    <row r="5" spans="1:12" x14ac:dyDescent="0.2">
      <c r="A5" s="21" t="s">
        <v>53</v>
      </c>
      <c r="B5" s="19"/>
      <c r="C5" s="6" t="s">
        <v>126</v>
      </c>
      <c r="D5" s="8" t="s">
        <v>54</v>
      </c>
      <c r="E5" s="9">
        <f>COUNTIF(L12:L30,"FIX*")</f>
        <v>0</v>
      </c>
    </row>
    <row r="6" spans="1:12" x14ac:dyDescent="0.2">
      <c r="A6" s="21" t="s">
        <v>55</v>
      </c>
      <c r="B6" s="19"/>
      <c r="C6" s="6" t="s">
        <v>127</v>
      </c>
    </row>
    <row r="7" spans="1:12" x14ac:dyDescent="0.2">
      <c r="A7" s="21" t="s">
        <v>56</v>
      </c>
      <c r="B7" s="19"/>
      <c r="C7" s="6" t="s">
        <v>128</v>
      </c>
    </row>
    <row r="8" spans="1:12" x14ac:dyDescent="0.2">
      <c r="A8" s="21" t="s">
        <v>57</v>
      </c>
      <c r="B8" s="19"/>
      <c r="C8" s="6" t="s">
        <v>129</v>
      </c>
    </row>
    <row r="11" spans="1:12" ht="30" customHeight="1" x14ac:dyDescent="0.2">
      <c r="A11" s="10" t="s">
        <v>58</v>
      </c>
      <c r="B11" s="10" t="s">
        <v>59</v>
      </c>
      <c r="C11" s="10" t="s">
        <v>60</v>
      </c>
      <c r="D11" s="10" t="s">
        <v>61</v>
      </c>
      <c r="E11" s="10" t="s">
        <v>62</v>
      </c>
      <c r="F11" s="10" t="s">
        <v>63</v>
      </c>
      <c r="G11" s="10" t="s">
        <v>64</v>
      </c>
      <c r="H11" s="10" t="s">
        <v>65</v>
      </c>
      <c r="I11" s="10" t="s">
        <v>66</v>
      </c>
      <c r="J11" s="10" t="s">
        <v>67</v>
      </c>
      <c r="K11" s="10" t="s">
        <v>68</v>
      </c>
      <c r="L11" s="10" t="s">
        <v>69</v>
      </c>
    </row>
    <row r="12" spans="1:12" ht="34" customHeight="1" x14ac:dyDescent="0.2">
      <c r="A12" s="11">
        <v>1</v>
      </c>
      <c r="B12" s="12" t="s">
        <v>70</v>
      </c>
      <c r="C12" s="12" t="s">
        <v>71</v>
      </c>
      <c r="D12" s="12" t="s">
        <v>72</v>
      </c>
      <c r="E12" s="13" t="s">
        <v>73</v>
      </c>
      <c r="F12" s="14" t="s">
        <v>130</v>
      </c>
      <c r="G12" s="14" t="s">
        <v>131</v>
      </c>
      <c r="H12" s="14" t="s">
        <v>129</v>
      </c>
      <c r="I12" s="14"/>
      <c r="J12" s="14"/>
      <c r="K12" s="14" t="s">
        <v>132</v>
      </c>
      <c r="L12" s="15" t="str">
        <f t="shared" ref="L12:L30" si="0">IF(AND(F12&lt;&gt;"",G12&lt;&gt;"",H12&lt;&gt;"",I12="",J12=""),"OK - answered",IF(AND(F12="",G12="",I12&lt;&gt;"",J12&lt;&gt;""),"OK - missing, recorded",IF(COUNTA(F12:J12)=0,"not started","FIX - half filled")))</f>
        <v>OK - answered</v>
      </c>
    </row>
    <row r="13" spans="1:12" ht="34" customHeight="1" x14ac:dyDescent="0.2">
      <c r="A13" s="11">
        <v>2</v>
      </c>
      <c r="B13" s="12" t="s">
        <v>70</v>
      </c>
      <c r="C13" s="12" t="s">
        <v>74</v>
      </c>
      <c r="D13" s="12" t="s">
        <v>75</v>
      </c>
      <c r="E13" s="13" t="s">
        <v>76</v>
      </c>
      <c r="F13" s="14" t="s">
        <v>133</v>
      </c>
      <c r="G13" s="14" t="s">
        <v>131</v>
      </c>
      <c r="H13" s="14" t="s">
        <v>129</v>
      </c>
      <c r="I13" s="14"/>
      <c r="J13" s="14"/>
      <c r="K13" s="14" t="s">
        <v>132</v>
      </c>
      <c r="L13" s="15" t="str">
        <f t="shared" si="0"/>
        <v>OK - answered</v>
      </c>
    </row>
    <row r="14" spans="1:12" ht="34" customHeight="1" x14ac:dyDescent="0.2">
      <c r="A14" s="11">
        <v>3</v>
      </c>
      <c r="B14" s="12" t="s">
        <v>70</v>
      </c>
      <c r="C14" s="12" t="s">
        <v>77</v>
      </c>
      <c r="D14" s="12" t="s">
        <v>78</v>
      </c>
      <c r="E14" s="13" t="s">
        <v>79</v>
      </c>
      <c r="F14" s="14" t="s">
        <v>134</v>
      </c>
      <c r="G14" s="14" t="s">
        <v>131</v>
      </c>
      <c r="H14" s="14" t="s">
        <v>129</v>
      </c>
      <c r="I14" s="14"/>
      <c r="J14" s="14"/>
      <c r="K14" s="14" t="s">
        <v>132</v>
      </c>
      <c r="L14" s="15" t="str">
        <f t="shared" si="0"/>
        <v>OK - answered</v>
      </c>
    </row>
    <row r="15" spans="1:12" ht="34" customHeight="1" x14ac:dyDescent="0.2">
      <c r="A15" s="11">
        <v>4</v>
      </c>
      <c r="B15" s="12" t="s">
        <v>70</v>
      </c>
      <c r="C15" s="12" t="s">
        <v>80</v>
      </c>
      <c r="D15" s="12" t="s">
        <v>78</v>
      </c>
      <c r="E15" s="13" t="s">
        <v>81</v>
      </c>
      <c r="F15" s="14" t="s">
        <v>81</v>
      </c>
      <c r="G15" s="14" t="s">
        <v>131</v>
      </c>
      <c r="H15" s="14" t="s">
        <v>129</v>
      </c>
      <c r="I15" s="14"/>
      <c r="J15" s="14"/>
      <c r="K15" s="14" t="s">
        <v>132</v>
      </c>
      <c r="L15" s="15" t="str">
        <f t="shared" si="0"/>
        <v>OK - answered</v>
      </c>
    </row>
    <row r="16" spans="1:12" ht="34" customHeight="1" x14ac:dyDescent="0.2">
      <c r="A16" s="11">
        <v>5</v>
      </c>
      <c r="B16" s="12" t="s">
        <v>70</v>
      </c>
      <c r="C16" s="12" t="s">
        <v>82</v>
      </c>
      <c r="D16" s="12" t="s">
        <v>83</v>
      </c>
      <c r="E16" s="13" t="s">
        <v>84</v>
      </c>
      <c r="F16" s="14" t="s">
        <v>135</v>
      </c>
      <c r="G16" s="14" t="s">
        <v>136</v>
      </c>
      <c r="H16" s="14" t="s">
        <v>129</v>
      </c>
      <c r="I16" s="14"/>
      <c r="J16" s="14"/>
      <c r="K16" s="14" t="s">
        <v>137</v>
      </c>
      <c r="L16" s="15" t="str">
        <f t="shared" si="0"/>
        <v>OK - answered</v>
      </c>
    </row>
    <row r="17" spans="1:12" ht="34" customHeight="1" x14ac:dyDescent="0.2">
      <c r="A17" s="11">
        <v>6</v>
      </c>
      <c r="B17" s="12" t="s">
        <v>70</v>
      </c>
      <c r="C17" s="12" t="s">
        <v>85</v>
      </c>
      <c r="D17" s="12" t="s">
        <v>86</v>
      </c>
      <c r="E17" s="13" t="s">
        <v>87</v>
      </c>
      <c r="F17" s="14" t="s">
        <v>87</v>
      </c>
      <c r="G17" s="14" t="s">
        <v>138</v>
      </c>
      <c r="H17" s="14" t="s">
        <v>129</v>
      </c>
      <c r="I17" s="14"/>
      <c r="J17" s="14"/>
      <c r="K17" s="14" t="s">
        <v>139</v>
      </c>
      <c r="L17" s="15" t="str">
        <f t="shared" si="0"/>
        <v>OK - answered</v>
      </c>
    </row>
    <row r="18" spans="1:12" ht="34" customHeight="1" x14ac:dyDescent="0.2">
      <c r="A18" s="11">
        <v>7</v>
      </c>
      <c r="B18" s="12" t="s">
        <v>70</v>
      </c>
      <c r="C18" s="12" t="s">
        <v>88</v>
      </c>
      <c r="D18" s="12" t="s">
        <v>89</v>
      </c>
      <c r="E18" s="13" t="s">
        <v>90</v>
      </c>
      <c r="F18" s="14" t="s">
        <v>140</v>
      </c>
      <c r="G18" s="14" t="s">
        <v>138</v>
      </c>
      <c r="H18" s="14" t="s">
        <v>129</v>
      </c>
      <c r="I18" s="14"/>
      <c r="J18" s="14"/>
      <c r="K18" s="14" t="s">
        <v>139</v>
      </c>
      <c r="L18" s="15" t="str">
        <f t="shared" si="0"/>
        <v>OK - answered</v>
      </c>
    </row>
    <row r="19" spans="1:12" ht="34" customHeight="1" x14ac:dyDescent="0.2">
      <c r="A19" s="11">
        <v>8</v>
      </c>
      <c r="B19" s="12" t="s">
        <v>70</v>
      </c>
      <c r="C19" s="12" t="s">
        <v>91</v>
      </c>
      <c r="D19" s="12" t="s">
        <v>92</v>
      </c>
      <c r="E19" s="13" t="s">
        <v>93</v>
      </c>
      <c r="F19" s="14" t="s">
        <v>141</v>
      </c>
      <c r="G19" s="14" t="s">
        <v>142</v>
      </c>
      <c r="H19" s="14" t="s">
        <v>129</v>
      </c>
      <c r="I19" s="14"/>
      <c r="J19" s="14"/>
      <c r="K19" s="14" t="s">
        <v>143</v>
      </c>
      <c r="L19" s="15" t="str">
        <f t="shared" si="0"/>
        <v>OK - answered</v>
      </c>
    </row>
    <row r="20" spans="1:12" ht="34" customHeight="1" x14ac:dyDescent="0.2">
      <c r="A20" s="11">
        <v>9</v>
      </c>
      <c r="B20" s="12" t="s">
        <v>70</v>
      </c>
      <c r="C20" s="12" t="s">
        <v>94</v>
      </c>
      <c r="D20" s="12" t="s">
        <v>95</v>
      </c>
      <c r="E20" s="13" t="s">
        <v>96</v>
      </c>
      <c r="F20" s="14" t="s">
        <v>144</v>
      </c>
      <c r="G20" s="14" t="s">
        <v>142</v>
      </c>
      <c r="H20" s="14" t="s">
        <v>129</v>
      </c>
      <c r="I20" s="14"/>
      <c r="J20" s="14"/>
      <c r="K20" s="14" t="s">
        <v>143</v>
      </c>
      <c r="L20" s="15" t="str">
        <f t="shared" si="0"/>
        <v>OK - answered</v>
      </c>
    </row>
    <row r="21" spans="1:12" ht="34" customHeight="1" x14ac:dyDescent="0.2">
      <c r="A21" s="11">
        <v>10</v>
      </c>
      <c r="B21" s="12" t="s">
        <v>70</v>
      </c>
      <c r="C21" s="12" t="s">
        <v>97</v>
      </c>
      <c r="D21" s="12" t="s">
        <v>98</v>
      </c>
      <c r="E21" s="13" t="s">
        <v>99</v>
      </c>
      <c r="F21" s="14" t="s">
        <v>145</v>
      </c>
      <c r="G21" s="14" t="s">
        <v>146</v>
      </c>
      <c r="H21" s="14" t="s">
        <v>129</v>
      </c>
      <c r="I21" s="14"/>
      <c r="J21" s="14"/>
      <c r="K21" s="14" t="s">
        <v>147</v>
      </c>
      <c r="L21" s="15" t="str">
        <f t="shared" si="0"/>
        <v>OK - answered</v>
      </c>
    </row>
    <row r="22" spans="1:12" ht="34" customHeight="1" x14ac:dyDescent="0.2">
      <c r="A22" s="11">
        <v>11</v>
      </c>
      <c r="B22" s="12" t="s">
        <v>70</v>
      </c>
      <c r="C22" s="12" t="s">
        <v>100</v>
      </c>
      <c r="D22" s="12" t="s">
        <v>101</v>
      </c>
      <c r="E22" s="13" t="s">
        <v>102</v>
      </c>
      <c r="F22" s="14"/>
      <c r="G22" s="14"/>
      <c r="H22" s="14"/>
      <c r="I22" s="14" t="s">
        <v>148</v>
      </c>
      <c r="J22" s="14" t="s">
        <v>149</v>
      </c>
      <c r="K22" s="14"/>
      <c r="L22" s="15" t="str">
        <f t="shared" si="0"/>
        <v>OK - missing, recorded</v>
      </c>
    </row>
    <row r="23" spans="1:12" ht="34" customHeight="1" x14ac:dyDescent="0.2">
      <c r="A23" s="11">
        <v>12</v>
      </c>
      <c r="B23" s="12" t="s">
        <v>103</v>
      </c>
      <c r="C23" s="12" t="s">
        <v>104</v>
      </c>
      <c r="D23" s="12" t="s">
        <v>105</v>
      </c>
      <c r="E23" s="13" t="s">
        <v>106</v>
      </c>
      <c r="F23" s="14" t="s">
        <v>150</v>
      </c>
      <c r="G23" s="14" t="s">
        <v>142</v>
      </c>
      <c r="H23" s="14" t="s">
        <v>129</v>
      </c>
      <c r="I23" s="14"/>
      <c r="J23" s="14"/>
      <c r="K23" s="14" t="s">
        <v>143</v>
      </c>
      <c r="L23" s="15" t="str">
        <f t="shared" si="0"/>
        <v>OK - answered</v>
      </c>
    </row>
    <row r="24" spans="1:12" ht="34" customHeight="1" x14ac:dyDescent="0.2">
      <c r="A24" s="11">
        <v>13</v>
      </c>
      <c r="B24" s="12" t="s">
        <v>103</v>
      </c>
      <c r="C24" s="12" t="s">
        <v>107</v>
      </c>
      <c r="D24" s="12" t="s">
        <v>105</v>
      </c>
      <c r="E24" s="13" t="s">
        <v>108</v>
      </c>
      <c r="F24" s="14" t="s">
        <v>151</v>
      </c>
      <c r="G24" s="14" t="s">
        <v>142</v>
      </c>
      <c r="H24" s="14" t="s">
        <v>129</v>
      </c>
      <c r="I24" s="14"/>
      <c r="J24" s="14"/>
      <c r="K24" s="14" t="s">
        <v>143</v>
      </c>
      <c r="L24" s="15" t="str">
        <f t="shared" si="0"/>
        <v>OK - answered</v>
      </c>
    </row>
    <row r="25" spans="1:12" ht="34" customHeight="1" x14ac:dyDescent="0.2">
      <c r="A25" s="11">
        <v>14</v>
      </c>
      <c r="B25" s="12" t="s">
        <v>103</v>
      </c>
      <c r="C25" s="12" t="s">
        <v>109</v>
      </c>
      <c r="D25" s="12" t="s">
        <v>105</v>
      </c>
      <c r="E25" s="13" t="s">
        <v>110</v>
      </c>
      <c r="F25" s="14" t="s">
        <v>152</v>
      </c>
      <c r="G25" s="14" t="s">
        <v>142</v>
      </c>
      <c r="H25" s="14" t="s">
        <v>129</v>
      </c>
      <c r="I25" s="14"/>
      <c r="J25" s="14"/>
      <c r="K25" s="14" t="s">
        <v>143</v>
      </c>
      <c r="L25" s="15" t="str">
        <f t="shared" si="0"/>
        <v>OK - answered</v>
      </c>
    </row>
    <row r="26" spans="1:12" ht="34" customHeight="1" x14ac:dyDescent="0.2">
      <c r="A26" s="11">
        <v>15</v>
      </c>
      <c r="B26" s="12" t="s">
        <v>103</v>
      </c>
      <c r="C26" s="12" t="s">
        <v>111</v>
      </c>
      <c r="D26" s="12" t="s">
        <v>98</v>
      </c>
      <c r="E26" s="13" t="s">
        <v>112</v>
      </c>
      <c r="F26" s="14" t="s">
        <v>153</v>
      </c>
      <c r="G26" s="14" t="s">
        <v>146</v>
      </c>
      <c r="H26" s="14" t="s">
        <v>129</v>
      </c>
      <c r="I26" s="14"/>
      <c r="J26" s="14"/>
      <c r="K26" s="14" t="s">
        <v>147</v>
      </c>
      <c r="L26" s="15" t="str">
        <f t="shared" si="0"/>
        <v>OK - answered</v>
      </c>
    </row>
    <row r="27" spans="1:12" ht="34" customHeight="1" x14ac:dyDescent="0.2">
      <c r="A27" s="11">
        <v>16</v>
      </c>
      <c r="B27" s="12" t="s">
        <v>103</v>
      </c>
      <c r="C27" s="12" t="s">
        <v>113</v>
      </c>
      <c r="D27" s="12" t="s">
        <v>98</v>
      </c>
      <c r="E27" s="13" t="s">
        <v>112</v>
      </c>
      <c r="F27" s="14" t="s">
        <v>153</v>
      </c>
      <c r="G27" s="14" t="s">
        <v>146</v>
      </c>
      <c r="H27" s="14" t="s">
        <v>129</v>
      </c>
      <c r="I27" s="14"/>
      <c r="J27" s="14"/>
      <c r="K27" s="14" t="s">
        <v>147</v>
      </c>
      <c r="L27" s="15" t="str">
        <f t="shared" si="0"/>
        <v>OK - answered</v>
      </c>
    </row>
    <row r="28" spans="1:12" ht="34" customHeight="1" x14ac:dyDescent="0.2">
      <c r="A28" s="11">
        <v>17</v>
      </c>
      <c r="B28" s="12" t="s">
        <v>103</v>
      </c>
      <c r="C28" s="12" t="s">
        <v>114</v>
      </c>
      <c r="D28" s="12" t="s">
        <v>115</v>
      </c>
      <c r="E28" s="13" t="s">
        <v>116</v>
      </c>
      <c r="F28" s="14"/>
      <c r="G28" s="14"/>
      <c r="H28" s="14"/>
      <c r="I28" s="14" t="s">
        <v>154</v>
      </c>
      <c r="J28" s="14" t="s">
        <v>155</v>
      </c>
      <c r="K28" s="14"/>
      <c r="L28" s="15" t="str">
        <f t="shared" si="0"/>
        <v>OK - missing, recorded</v>
      </c>
    </row>
    <row r="29" spans="1:12" ht="34" customHeight="1" x14ac:dyDescent="0.2">
      <c r="A29" s="11">
        <v>18</v>
      </c>
      <c r="B29" s="12" t="s">
        <v>117</v>
      </c>
      <c r="C29" s="12" t="s">
        <v>118</v>
      </c>
      <c r="D29" s="12" t="s">
        <v>119</v>
      </c>
      <c r="E29" s="13" t="s">
        <v>120</v>
      </c>
      <c r="F29" s="14" t="s">
        <v>156</v>
      </c>
      <c r="G29" s="14" t="s">
        <v>157</v>
      </c>
      <c r="H29" s="14" t="s">
        <v>129</v>
      </c>
      <c r="I29" s="14"/>
      <c r="J29" s="14"/>
      <c r="K29" s="14" t="s">
        <v>158</v>
      </c>
      <c r="L29" s="15" t="str">
        <f t="shared" si="0"/>
        <v>OK - answered</v>
      </c>
    </row>
    <row r="30" spans="1:12" ht="34" customHeight="1" x14ac:dyDescent="0.2">
      <c r="A30" s="11">
        <v>19</v>
      </c>
      <c r="B30" s="12" t="s">
        <v>117</v>
      </c>
      <c r="C30" s="12" t="s">
        <v>121</v>
      </c>
      <c r="D30" s="12" t="s">
        <v>122</v>
      </c>
      <c r="E30" s="13" t="s">
        <v>123</v>
      </c>
      <c r="F30" s="14"/>
      <c r="G30" s="14"/>
      <c r="H30" s="14"/>
      <c r="I30" s="14" t="s">
        <v>159</v>
      </c>
      <c r="J30" s="14" t="s">
        <v>160</v>
      </c>
      <c r="K30" s="14"/>
      <c r="L30" s="15" t="str">
        <f t="shared" si="0"/>
        <v>OK - missing, recorded</v>
      </c>
    </row>
    <row r="32" spans="1:12" x14ac:dyDescent="0.2">
      <c r="C32" s="20" t="s">
        <v>124</v>
      </c>
      <c r="D32" s="19"/>
      <c r="E32" s="19"/>
      <c r="F32" s="19"/>
      <c r="G32" s="19"/>
    </row>
  </sheetData>
  <mergeCells count="6">
    <mergeCell ref="A4:B4"/>
    <mergeCell ref="A7:B7"/>
    <mergeCell ref="C32:G32"/>
    <mergeCell ref="A5:B5"/>
    <mergeCell ref="A8:B8"/>
    <mergeCell ref="A6:B6"/>
  </mergeCells>
  <conditionalFormatting sqref="L12:L30">
    <cfRule type="expression" dxfId="2" priority="1">
      <formula>LEFT(L12,2)="OK"</formula>
    </cfRule>
    <cfRule type="expression" dxfId="1" priority="2">
      <formula>LEFT(L12,3)="FIX"</formula>
    </cfRule>
    <cfRule type="expression" dxfId="0" priority="3">
      <formula>L12="not started"</formula>
    </cfRule>
  </conditionalFormatting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0" customWidth="1"/>
    <col min="3" max="3" width="52" customWidth="1"/>
    <col min="4" max="4" width="40" customWidth="1"/>
    <col min="5" max="5" width="13" customWidth="1"/>
    <col min="6" max="6" width="15" customWidth="1"/>
    <col min="7" max="7" width="45" customWidth="1"/>
    <col min="8" max="8" width="34" customWidth="1"/>
  </cols>
  <sheetData>
    <row r="1" spans="1:8" ht="24" customHeight="1" x14ac:dyDescent="0.2">
      <c r="A1" s="1" t="s">
        <v>161</v>
      </c>
    </row>
    <row r="2" spans="1:8" ht="16" customHeight="1" x14ac:dyDescent="0.2">
      <c r="A2" s="2" t="s">
        <v>162</v>
      </c>
    </row>
    <row r="4" spans="1:8" ht="30" customHeight="1" x14ac:dyDescent="0.2">
      <c r="A4" s="10" t="s">
        <v>58</v>
      </c>
      <c r="B4" s="10" t="s">
        <v>163</v>
      </c>
      <c r="C4" s="10" t="s">
        <v>164</v>
      </c>
      <c r="D4" s="10" t="s">
        <v>32</v>
      </c>
      <c r="E4" s="10" t="s">
        <v>165</v>
      </c>
      <c r="F4" s="10" t="s">
        <v>166</v>
      </c>
      <c r="G4" s="10" t="s">
        <v>167</v>
      </c>
      <c r="H4" s="10" t="s">
        <v>168</v>
      </c>
    </row>
    <row r="5" spans="1:8" ht="26" customHeight="1" x14ac:dyDescent="0.2">
      <c r="A5" s="16">
        <v>1</v>
      </c>
      <c r="B5" s="16" t="s">
        <v>169</v>
      </c>
      <c r="C5" s="16" t="s">
        <v>170</v>
      </c>
      <c r="D5" s="16" t="s">
        <v>171</v>
      </c>
      <c r="E5" s="14"/>
      <c r="F5" s="14"/>
      <c r="G5" s="14"/>
      <c r="H5" s="14"/>
    </row>
    <row r="6" spans="1:8" ht="26" customHeight="1" x14ac:dyDescent="0.2">
      <c r="A6" s="16">
        <v>2</v>
      </c>
      <c r="B6" s="16" t="s">
        <v>169</v>
      </c>
      <c r="C6" s="16" t="s">
        <v>114</v>
      </c>
      <c r="D6" s="16" t="s">
        <v>172</v>
      </c>
      <c r="E6" s="14"/>
      <c r="F6" s="14"/>
      <c r="G6" s="14"/>
      <c r="H6" s="14"/>
    </row>
    <row r="7" spans="1:8" ht="26" customHeight="1" x14ac:dyDescent="0.2">
      <c r="A7" s="16">
        <v>3</v>
      </c>
      <c r="B7" s="16" t="s">
        <v>173</v>
      </c>
      <c r="C7" s="16" t="s">
        <v>174</v>
      </c>
      <c r="D7" s="16" t="s">
        <v>175</v>
      </c>
      <c r="E7" s="14"/>
      <c r="F7" s="14"/>
      <c r="G7" s="14"/>
      <c r="H7" s="14"/>
    </row>
    <row r="8" spans="1:8" ht="26" customHeight="1" x14ac:dyDescent="0.2">
      <c r="A8" s="16">
        <v>4</v>
      </c>
      <c r="B8" s="16" t="s">
        <v>173</v>
      </c>
      <c r="C8" s="16" t="s">
        <v>176</v>
      </c>
      <c r="D8" s="16" t="s">
        <v>177</v>
      </c>
      <c r="E8" s="14"/>
      <c r="F8" s="14"/>
      <c r="G8" s="14"/>
      <c r="H8" s="14"/>
    </row>
    <row r="9" spans="1:8" ht="26" customHeight="1" x14ac:dyDescent="0.2">
      <c r="A9" s="16">
        <v>5</v>
      </c>
      <c r="B9" s="16" t="s">
        <v>173</v>
      </c>
      <c r="C9" s="16" t="s">
        <v>170</v>
      </c>
      <c r="D9" s="16" t="s">
        <v>178</v>
      </c>
      <c r="E9" s="14"/>
      <c r="F9" s="14"/>
      <c r="G9" s="14"/>
      <c r="H9" s="14"/>
    </row>
    <row r="10" spans="1:8" ht="26" customHeight="1" x14ac:dyDescent="0.2">
      <c r="A10" s="16">
        <v>6</v>
      </c>
      <c r="B10" s="16" t="s">
        <v>173</v>
      </c>
      <c r="C10" s="16" t="s">
        <v>114</v>
      </c>
      <c r="D10" s="16" t="s">
        <v>175</v>
      </c>
      <c r="E10" s="14"/>
      <c r="F10" s="14"/>
      <c r="G10" s="14"/>
      <c r="H10" s="14"/>
    </row>
    <row r="11" spans="1:8" ht="26" customHeight="1" x14ac:dyDescent="0.2">
      <c r="A11" s="16">
        <v>7</v>
      </c>
      <c r="B11" s="16" t="s">
        <v>125</v>
      </c>
      <c r="C11" s="16" t="s">
        <v>170</v>
      </c>
      <c r="D11" s="16" t="s">
        <v>179</v>
      </c>
      <c r="E11" s="14"/>
      <c r="F11" s="14"/>
      <c r="G11" s="14"/>
      <c r="H11" s="14"/>
    </row>
    <row r="12" spans="1:8" ht="26" customHeight="1" x14ac:dyDescent="0.2">
      <c r="A12" s="16">
        <v>8</v>
      </c>
      <c r="B12" s="16" t="s">
        <v>125</v>
      </c>
      <c r="C12" s="16" t="s">
        <v>114</v>
      </c>
      <c r="D12" s="16" t="s">
        <v>180</v>
      </c>
      <c r="E12" s="14"/>
      <c r="F12" s="14"/>
      <c r="G12" s="14"/>
      <c r="H12" s="14"/>
    </row>
    <row r="13" spans="1:8" ht="26" customHeight="1" x14ac:dyDescent="0.2">
      <c r="A13" s="16">
        <v>9</v>
      </c>
      <c r="B13" s="16" t="s">
        <v>181</v>
      </c>
      <c r="C13" s="16" t="s">
        <v>182</v>
      </c>
      <c r="D13" s="16" t="s">
        <v>183</v>
      </c>
      <c r="E13" s="14"/>
      <c r="F13" s="14"/>
      <c r="G13" s="14"/>
      <c r="H13" s="14"/>
    </row>
    <row r="14" spans="1:8" ht="26" customHeight="1" x14ac:dyDescent="0.2">
      <c r="A14" s="16">
        <v>10</v>
      </c>
      <c r="B14" s="16" t="s">
        <v>181</v>
      </c>
      <c r="C14" s="16" t="s">
        <v>184</v>
      </c>
      <c r="D14" s="16" t="s">
        <v>185</v>
      </c>
      <c r="E14" s="14"/>
      <c r="F14" s="14"/>
      <c r="G14" s="14"/>
      <c r="H14" s="14"/>
    </row>
    <row r="15" spans="1:8" ht="26" customHeight="1" x14ac:dyDescent="0.2">
      <c r="A15" s="16">
        <v>11</v>
      </c>
      <c r="B15" s="16" t="s">
        <v>181</v>
      </c>
      <c r="C15" s="16" t="s">
        <v>186</v>
      </c>
      <c r="D15" s="16" t="s">
        <v>185</v>
      </c>
      <c r="E15" s="14"/>
      <c r="F15" s="14"/>
      <c r="G15" s="14"/>
      <c r="H15" s="14"/>
    </row>
    <row r="16" spans="1:8" ht="26" customHeight="1" x14ac:dyDescent="0.2">
      <c r="A16" s="16">
        <v>12</v>
      </c>
      <c r="B16" s="16" t="s">
        <v>181</v>
      </c>
      <c r="C16" s="16" t="s">
        <v>187</v>
      </c>
      <c r="D16" s="16" t="s">
        <v>188</v>
      </c>
      <c r="E16" s="14"/>
      <c r="F16" s="14"/>
      <c r="G16" s="14"/>
      <c r="H16" s="14"/>
    </row>
    <row r="17" spans="1:8" ht="26" customHeight="1" x14ac:dyDescent="0.2">
      <c r="A17" s="16">
        <v>13</v>
      </c>
      <c r="B17" s="16" t="s">
        <v>181</v>
      </c>
      <c r="C17" s="16" t="s">
        <v>114</v>
      </c>
      <c r="D17" s="16" t="s">
        <v>185</v>
      </c>
      <c r="E17" s="14"/>
      <c r="F17" s="14"/>
      <c r="G17" s="14"/>
      <c r="H17" s="14"/>
    </row>
    <row r="18" spans="1:8" ht="26" customHeight="1" x14ac:dyDescent="0.2">
      <c r="A18" s="16">
        <v>14</v>
      </c>
      <c r="B18" s="16" t="s">
        <v>189</v>
      </c>
      <c r="C18" s="16" t="s">
        <v>190</v>
      </c>
      <c r="D18" s="16" t="s">
        <v>191</v>
      </c>
      <c r="E18" s="14"/>
      <c r="F18" s="14"/>
      <c r="G18" s="14"/>
      <c r="H18" s="14"/>
    </row>
    <row r="19" spans="1:8" ht="26" customHeight="1" x14ac:dyDescent="0.2">
      <c r="A19" s="16">
        <v>15</v>
      </c>
      <c r="B19" s="16" t="s">
        <v>189</v>
      </c>
      <c r="C19" s="16" t="s">
        <v>192</v>
      </c>
      <c r="D19" s="16" t="s">
        <v>193</v>
      </c>
      <c r="E19" s="14"/>
      <c r="F19" s="14"/>
      <c r="G19" s="14"/>
      <c r="H19" s="14"/>
    </row>
    <row r="20" spans="1:8" ht="26" customHeight="1" x14ac:dyDescent="0.2">
      <c r="A20" s="16">
        <v>16</v>
      </c>
      <c r="B20" s="16" t="s">
        <v>189</v>
      </c>
      <c r="C20" s="16" t="s">
        <v>114</v>
      </c>
      <c r="D20" s="16" t="s">
        <v>194</v>
      </c>
      <c r="E20" s="14"/>
      <c r="F20" s="14"/>
      <c r="G20" s="14"/>
      <c r="H20" s="14"/>
    </row>
    <row r="21" spans="1:8" ht="26" customHeight="1" x14ac:dyDescent="0.2">
      <c r="A21" s="16">
        <v>17</v>
      </c>
      <c r="B21" s="16" t="s">
        <v>195</v>
      </c>
      <c r="C21" s="16" t="s">
        <v>196</v>
      </c>
      <c r="D21" s="16" t="s">
        <v>197</v>
      </c>
      <c r="E21" s="14"/>
      <c r="F21" s="14"/>
      <c r="G21" s="14"/>
      <c r="H21" s="14"/>
    </row>
    <row r="22" spans="1:8" ht="26" customHeight="1" x14ac:dyDescent="0.2">
      <c r="A22" s="16">
        <v>18</v>
      </c>
      <c r="B22" s="16" t="s">
        <v>195</v>
      </c>
      <c r="C22" s="16" t="s">
        <v>114</v>
      </c>
      <c r="D22" s="16" t="s">
        <v>198</v>
      </c>
      <c r="E22" s="14"/>
      <c r="F22" s="14"/>
      <c r="G22" s="14"/>
      <c r="H22" s="14"/>
    </row>
    <row r="23" spans="1:8" ht="26" customHeight="1" x14ac:dyDescent="0.2">
      <c r="A23" s="16">
        <v>19</v>
      </c>
      <c r="B23" s="16" t="s">
        <v>199</v>
      </c>
      <c r="C23" s="16" t="s">
        <v>200</v>
      </c>
      <c r="D23" s="16" t="s">
        <v>201</v>
      </c>
      <c r="E23" s="14"/>
      <c r="F23" s="14"/>
      <c r="G23" s="14"/>
      <c r="H23" s="14"/>
    </row>
    <row r="24" spans="1:8" ht="26" customHeight="1" x14ac:dyDescent="0.2">
      <c r="A24" s="16">
        <v>20</v>
      </c>
      <c r="B24" s="16" t="s">
        <v>202</v>
      </c>
      <c r="C24" s="16" t="s">
        <v>203</v>
      </c>
      <c r="D24" s="16" t="s">
        <v>204</v>
      </c>
      <c r="E24" s="14"/>
      <c r="F24" s="14"/>
      <c r="G24" s="14"/>
      <c r="H24" s="14"/>
    </row>
    <row r="25" spans="1:8" ht="26" customHeight="1" x14ac:dyDescent="0.2">
      <c r="A25" s="16">
        <v>21</v>
      </c>
      <c r="B25" s="16" t="s">
        <v>205</v>
      </c>
      <c r="C25" s="16" t="s">
        <v>109</v>
      </c>
      <c r="D25" s="16" t="s">
        <v>206</v>
      </c>
      <c r="E25" s="14"/>
      <c r="F25" s="14"/>
      <c r="G25" s="14"/>
      <c r="H25" s="14"/>
    </row>
    <row r="26" spans="1:8" ht="26" customHeight="1" x14ac:dyDescent="0.2">
      <c r="A26" s="16">
        <v>22</v>
      </c>
      <c r="B26" s="16" t="s">
        <v>205</v>
      </c>
      <c r="C26" s="16" t="s">
        <v>111</v>
      </c>
      <c r="D26" s="16" t="s">
        <v>206</v>
      </c>
      <c r="E26" s="14"/>
      <c r="F26" s="14"/>
      <c r="G26" s="14"/>
      <c r="H26" s="14"/>
    </row>
    <row r="27" spans="1:8" ht="26" customHeight="1" x14ac:dyDescent="0.2">
      <c r="A27" s="16">
        <v>23</v>
      </c>
      <c r="B27" s="16" t="s">
        <v>205</v>
      </c>
      <c r="C27" s="16" t="s">
        <v>113</v>
      </c>
      <c r="D27" s="16" t="s">
        <v>206</v>
      </c>
      <c r="E27" s="14"/>
      <c r="F27" s="14"/>
      <c r="G27" s="14"/>
      <c r="H27" s="14"/>
    </row>
    <row r="28" spans="1:8" ht="26" customHeight="1" x14ac:dyDescent="0.2">
      <c r="A28" s="16">
        <v>24</v>
      </c>
      <c r="B28" s="16" t="s">
        <v>205</v>
      </c>
      <c r="C28" s="16" t="s">
        <v>114</v>
      </c>
      <c r="D28" s="16" t="s">
        <v>206</v>
      </c>
      <c r="E28" s="14"/>
      <c r="F28" s="14"/>
      <c r="G28" s="14"/>
      <c r="H28" s="14"/>
    </row>
    <row r="29" spans="1:8" ht="26" customHeight="1" x14ac:dyDescent="0.2">
      <c r="A29" s="16">
        <v>25</v>
      </c>
      <c r="B29" s="16" t="s">
        <v>205</v>
      </c>
      <c r="C29" s="16" t="s">
        <v>207</v>
      </c>
      <c r="D29" s="16" t="s">
        <v>208</v>
      </c>
      <c r="E29" s="14"/>
      <c r="F29" s="14"/>
      <c r="G29" s="14"/>
      <c r="H29" s="14"/>
    </row>
    <row r="31" spans="1:8" x14ac:dyDescent="0.2">
      <c r="B31" s="20" t="s">
        <v>209</v>
      </c>
      <c r="C31" s="19"/>
      <c r="D31" s="19"/>
      <c r="E31" s="19"/>
      <c r="F31" s="19"/>
    </row>
  </sheetData>
  <mergeCells count="1">
    <mergeCell ref="B31:F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5"/>
  <sheetViews>
    <sheetView showGridLines="0"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4" customWidth="1"/>
    <col min="2" max="2" width="32" customWidth="1"/>
    <col min="3" max="3" width="24" customWidth="1"/>
    <col min="4" max="4" width="44" customWidth="1"/>
    <col min="5" max="6" width="13" customWidth="1"/>
    <col min="7" max="8" width="14" customWidth="1"/>
    <col min="9" max="9" width="16" customWidth="1"/>
  </cols>
  <sheetData>
    <row r="1" spans="1:9" ht="24" customHeight="1" x14ac:dyDescent="0.2">
      <c r="A1" s="1" t="s">
        <v>210</v>
      </c>
    </row>
    <row r="2" spans="1:9" ht="16" customHeight="1" x14ac:dyDescent="0.2">
      <c r="A2" s="2" t="s">
        <v>211</v>
      </c>
    </row>
    <row r="4" spans="1:9" ht="30" customHeight="1" x14ac:dyDescent="0.2">
      <c r="A4" s="10" t="s">
        <v>58</v>
      </c>
      <c r="B4" s="10" t="s">
        <v>163</v>
      </c>
      <c r="C4" s="10" t="s">
        <v>53</v>
      </c>
      <c r="D4" s="10" t="s">
        <v>212</v>
      </c>
      <c r="E4" s="10" t="s">
        <v>57</v>
      </c>
      <c r="F4" s="10" t="s">
        <v>213</v>
      </c>
      <c r="G4" s="10" t="s">
        <v>214</v>
      </c>
      <c r="H4" s="10" t="s">
        <v>215</v>
      </c>
      <c r="I4" s="10" t="s">
        <v>216</v>
      </c>
    </row>
    <row r="5" spans="1:9" ht="22" customHeight="1" x14ac:dyDescent="0.2">
      <c r="A5" s="17">
        <v>1</v>
      </c>
      <c r="B5" s="14"/>
      <c r="C5" s="14"/>
      <c r="D5" s="14"/>
      <c r="E5" s="14"/>
      <c r="F5" s="14"/>
      <c r="G5" s="14"/>
      <c r="H5" s="14"/>
      <c r="I5" s="14"/>
    </row>
    <row r="6" spans="1:9" ht="22" customHeight="1" x14ac:dyDescent="0.2">
      <c r="A6" s="17">
        <v>2</v>
      </c>
      <c r="B6" s="14"/>
      <c r="C6" s="14"/>
      <c r="D6" s="14"/>
      <c r="E6" s="14"/>
      <c r="F6" s="14"/>
      <c r="G6" s="14"/>
      <c r="H6" s="14"/>
      <c r="I6" s="14"/>
    </row>
    <row r="7" spans="1:9" ht="22" customHeight="1" x14ac:dyDescent="0.2">
      <c r="A7" s="17">
        <v>3</v>
      </c>
      <c r="B7" s="14"/>
      <c r="C7" s="14"/>
      <c r="D7" s="14"/>
      <c r="E7" s="14"/>
      <c r="F7" s="14"/>
      <c r="G7" s="14"/>
      <c r="H7" s="14"/>
      <c r="I7" s="14"/>
    </row>
    <row r="8" spans="1:9" ht="22" customHeight="1" x14ac:dyDescent="0.2">
      <c r="A8" s="17">
        <v>4</v>
      </c>
      <c r="B8" s="14"/>
      <c r="C8" s="14"/>
      <c r="D8" s="14"/>
      <c r="E8" s="14"/>
      <c r="F8" s="14"/>
      <c r="G8" s="14"/>
      <c r="H8" s="14"/>
      <c r="I8" s="14"/>
    </row>
    <row r="9" spans="1:9" ht="22" customHeight="1" x14ac:dyDescent="0.2">
      <c r="A9" s="17">
        <v>5</v>
      </c>
      <c r="B9" s="14"/>
      <c r="C9" s="14"/>
      <c r="D9" s="14"/>
      <c r="E9" s="14"/>
      <c r="F9" s="14"/>
      <c r="G9" s="14"/>
      <c r="H9" s="14"/>
      <c r="I9" s="14"/>
    </row>
    <row r="10" spans="1:9" ht="22" customHeight="1" x14ac:dyDescent="0.2">
      <c r="A10" s="17">
        <v>6</v>
      </c>
      <c r="B10" s="14"/>
      <c r="C10" s="14"/>
      <c r="D10" s="14"/>
      <c r="E10" s="14"/>
      <c r="F10" s="14"/>
      <c r="G10" s="14"/>
      <c r="H10" s="14"/>
      <c r="I10" s="14"/>
    </row>
    <row r="11" spans="1:9" ht="22" customHeight="1" x14ac:dyDescent="0.2">
      <c r="A11" s="17">
        <v>7</v>
      </c>
      <c r="B11" s="14"/>
      <c r="C11" s="14"/>
      <c r="D11" s="14"/>
      <c r="E11" s="14"/>
      <c r="F11" s="14"/>
      <c r="G11" s="14"/>
      <c r="H11" s="14"/>
      <c r="I11" s="14"/>
    </row>
    <row r="12" spans="1:9" ht="22" customHeight="1" x14ac:dyDescent="0.2">
      <c r="A12" s="17">
        <v>8</v>
      </c>
      <c r="B12" s="14"/>
      <c r="C12" s="14"/>
      <c r="D12" s="14"/>
      <c r="E12" s="14"/>
      <c r="F12" s="14"/>
      <c r="G12" s="14"/>
      <c r="H12" s="14"/>
      <c r="I12" s="14"/>
    </row>
    <row r="13" spans="1:9" ht="22" customHeight="1" x14ac:dyDescent="0.2">
      <c r="A13" s="17">
        <v>9</v>
      </c>
      <c r="B13" s="14"/>
      <c r="C13" s="14"/>
      <c r="D13" s="14"/>
      <c r="E13" s="14"/>
      <c r="F13" s="14"/>
      <c r="G13" s="14"/>
      <c r="H13" s="14"/>
      <c r="I13" s="14"/>
    </row>
    <row r="14" spans="1:9" ht="22" customHeight="1" x14ac:dyDescent="0.2">
      <c r="A14" s="17">
        <v>10</v>
      </c>
      <c r="B14" s="14"/>
      <c r="C14" s="14"/>
      <c r="D14" s="14"/>
      <c r="E14" s="14"/>
      <c r="F14" s="14"/>
      <c r="G14" s="14"/>
      <c r="H14" s="14"/>
      <c r="I14" s="14"/>
    </row>
    <row r="15" spans="1:9" ht="22" customHeight="1" x14ac:dyDescent="0.2">
      <c r="A15" s="17">
        <v>11</v>
      </c>
      <c r="B15" s="14"/>
      <c r="C15" s="14"/>
      <c r="D15" s="14"/>
      <c r="E15" s="14"/>
      <c r="F15" s="14"/>
      <c r="G15" s="14"/>
      <c r="H15" s="14"/>
      <c r="I15" s="14"/>
    </row>
    <row r="16" spans="1:9" ht="22" customHeight="1" x14ac:dyDescent="0.2">
      <c r="A16" s="17">
        <v>12</v>
      </c>
      <c r="B16" s="14"/>
      <c r="C16" s="14"/>
      <c r="D16" s="14"/>
      <c r="E16" s="14"/>
      <c r="F16" s="14"/>
      <c r="G16" s="14"/>
      <c r="H16" s="14"/>
      <c r="I16" s="14"/>
    </row>
    <row r="17" spans="1:9" ht="22" customHeight="1" x14ac:dyDescent="0.2">
      <c r="A17" s="17">
        <v>13</v>
      </c>
      <c r="B17" s="14"/>
      <c r="C17" s="14"/>
      <c r="D17" s="14"/>
      <c r="E17" s="14"/>
      <c r="F17" s="14"/>
      <c r="G17" s="14"/>
      <c r="H17" s="14"/>
      <c r="I17" s="14"/>
    </row>
    <row r="18" spans="1:9" ht="22" customHeight="1" x14ac:dyDescent="0.2">
      <c r="A18" s="17">
        <v>14</v>
      </c>
      <c r="B18" s="14"/>
      <c r="C18" s="14"/>
      <c r="D18" s="14"/>
      <c r="E18" s="14"/>
      <c r="F18" s="14"/>
      <c r="G18" s="14"/>
      <c r="H18" s="14"/>
      <c r="I18" s="14"/>
    </row>
    <row r="19" spans="1:9" ht="22" customHeight="1" x14ac:dyDescent="0.2">
      <c r="A19" s="17">
        <v>15</v>
      </c>
      <c r="B19" s="14"/>
      <c r="C19" s="14"/>
      <c r="D19" s="14"/>
      <c r="E19" s="14"/>
      <c r="F19" s="14"/>
      <c r="G19" s="14"/>
      <c r="H19" s="14"/>
      <c r="I19" s="14"/>
    </row>
    <row r="20" spans="1:9" ht="22" customHeight="1" x14ac:dyDescent="0.2">
      <c r="A20" s="17">
        <v>16</v>
      </c>
      <c r="B20" s="14"/>
      <c r="C20" s="14"/>
      <c r="D20" s="14"/>
      <c r="E20" s="14"/>
      <c r="F20" s="14"/>
      <c r="G20" s="14"/>
      <c r="H20" s="14"/>
      <c r="I20" s="14"/>
    </row>
    <row r="21" spans="1:9" ht="22" customHeight="1" x14ac:dyDescent="0.2">
      <c r="A21" s="17">
        <v>17</v>
      </c>
      <c r="B21" s="14"/>
      <c r="C21" s="14"/>
      <c r="D21" s="14"/>
      <c r="E21" s="14"/>
      <c r="F21" s="14"/>
      <c r="G21" s="14"/>
      <c r="H21" s="14"/>
      <c r="I21" s="14"/>
    </row>
    <row r="22" spans="1:9" ht="22" customHeight="1" x14ac:dyDescent="0.2">
      <c r="A22" s="17">
        <v>18</v>
      </c>
      <c r="B22" s="14"/>
      <c r="C22" s="14"/>
      <c r="D22" s="14"/>
      <c r="E22" s="14"/>
      <c r="F22" s="14"/>
      <c r="G22" s="14"/>
      <c r="H22" s="14"/>
      <c r="I22" s="14"/>
    </row>
    <row r="23" spans="1:9" ht="22" customHeight="1" x14ac:dyDescent="0.2">
      <c r="A23" s="17">
        <v>19</v>
      </c>
      <c r="B23" s="14"/>
      <c r="C23" s="14"/>
      <c r="D23" s="14"/>
      <c r="E23" s="14"/>
      <c r="F23" s="14"/>
      <c r="G23" s="14"/>
      <c r="H23" s="14"/>
      <c r="I23" s="14"/>
    </row>
    <row r="24" spans="1:9" ht="22" customHeight="1" x14ac:dyDescent="0.2">
      <c r="A24" s="17">
        <v>20</v>
      </c>
      <c r="B24" s="14"/>
      <c r="C24" s="14"/>
      <c r="D24" s="14"/>
      <c r="E24" s="14"/>
      <c r="F24" s="14"/>
      <c r="G24" s="14"/>
      <c r="H24" s="14"/>
      <c r="I24" s="14"/>
    </row>
    <row r="25" spans="1:9" ht="22" customHeight="1" x14ac:dyDescent="0.2">
      <c r="A25" s="17">
        <v>21</v>
      </c>
      <c r="B25" s="14"/>
      <c r="C25" s="14"/>
      <c r="D25" s="14"/>
      <c r="E25" s="14"/>
      <c r="F25" s="14"/>
      <c r="G25" s="14"/>
      <c r="H25" s="14"/>
      <c r="I25" s="14"/>
    </row>
    <row r="26" spans="1:9" ht="22" customHeight="1" x14ac:dyDescent="0.2">
      <c r="A26" s="17">
        <v>22</v>
      </c>
      <c r="B26" s="14"/>
      <c r="C26" s="14"/>
      <c r="D26" s="14"/>
      <c r="E26" s="14"/>
      <c r="F26" s="14"/>
      <c r="G26" s="14"/>
      <c r="H26" s="14"/>
      <c r="I26" s="14"/>
    </row>
    <row r="27" spans="1:9" ht="22" customHeight="1" x14ac:dyDescent="0.2">
      <c r="A27" s="17">
        <v>23</v>
      </c>
      <c r="B27" s="14"/>
      <c r="C27" s="14"/>
      <c r="D27" s="14"/>
      <c r="E27" s="14"/>
      <c r="F27" s="14"/>
      <c r="G27" s="14"/>
      <c r="H27" s="14"/>
      <c r="I27" s="14"/>
    </row>
    <row r="28" spans="1:9" ht="22" customHeight="1" x14ac:dyDescent="0.2">
      <c r="A28" s="17">
        <v>24</v>
      </c>
      <c r="B28" s="14"/>
      <c r="C28" s="14"/>
      <c r="D28" s="14"/>
      <c r="E28" s="14"/>
      <c r="F28" s="14"/>
      <c r="G28" s="14"/>
      <c r="H28" s="14"/>
      <c r="I28" s="14"/>
    </row>
    <row r="29" spans="1:9" ht="22" customHeight="1" x14ac:dyDescent="0.2">
      <c r="A29" s="17">
        <v>25</v>
      </c>
      <c r="B29" s="14"/>
      <c r="C29" s="14"/>
      <c r="D29" s="14"/>
      <c r="E29" s="14"/>
      <c r="F29" s="14"/>
      <c r="G29" s="14"/>
      <c r="H29" s="14"/>
      <c r="I29" s="14"/>
    </row>
    <row r="30" spans="1:9" ht="22" customHeight="1" x14ac:dyDescent="0.2">
      <c r="A30" s="17">
        <v>26</v>
      </c>
      <c r="B30" s="14"/>
      <c r="C30" s="14"/>
      <c r="D30" s="14"/>
      <c r="E30" s="14"/>
      <c r="F30" s="14"/>
      <c r="G30" s="14"/>
      <c r="H30" s="14"/>
      <c r="I30" s="14"/>
    </row>
    <row r="31" spans="1:9" ht="22" customHeight="1" x14ac:dyDescent="0.2">
      <c r="A31" s="17">
        <v>27</v>
      </c>
      <c r="B31" s="14"/>
      <c r="C31" s="14"/>
      <c r="D31" s="14"/>
      <c r="E31" s="14"/>
      <c r="F31" s="14"/>
      <c r="G31" s="14"/>
      <c r="H31" s="14"/>
      <c r="I31" s="14"/>
    </row>
    <row r="32" spans="1:9" ht="22" customHeight="1" x14ac:dyDescent="0.2">
      <c r="A32" s="17">
        <v>28</v>
      </c>
      <c r="B32" s="14"/>
      <c r="C32" s="14"/>
      <c r="D32" s="14"/>
      <c r="E32" s="14"/>
      <c r="F32" s="14"/>
      <c r="G32" s="14"/>
      <c r="H32" s="14"/>
      <c r="I32" s="14"/>
    </row>
    <row r="33" spans="1:9" ht="22" customHeight="1" x14ac:dyDescent="0.2">
      <c r="A33" s="17">
        <v>29</v>
      </c>
      <c r="B33" s="14"/>
      <c r="C33" s="14"/>
      <c r="D33" s="14"/>
      <c r="E33" s="14"/>
      <c r="F33" s="14"/>
      <c r="G33" s="14"/>
      <c r="H33" s="14"/>
      <c r="I33" s="14"/>
    </row>
    <row r="34" spans="1:9" ht="22" customHeight="1" x14ac:dyDescent="0.2">
      <c r="A34" s="17">
        <v>30</v>
      </c>
      <c r="B34" s="14"/>
      <c r="C34" s="14"/>
      <c r="D34" s="14"/>
      <c r="E34" s="14"/>
      <c r="F34" s="14"/>
      <c r="G34" s="14"/>
      <c r="H34" s="14"/>
      <c r="I34" s="14"/>
    </row>
    <row r="35" spans="1:9" ht="22" customHeight="1" x14ac:dyDescent="0.2">
      <c r="A35" s="17">
        <v>31</v>
      </c>
      <c r="B35" s="14"/>
      <c r="C35" s="14"/>
      <c r="D35" s="14"/>
      <c r="E35" s="14"/>
      <c r="F35" s="14"/>
      <c r="G35" s="14"/>
      <c r="H35" s="14"/>
      <c r="I35" s="14"/>
    </row>
    <row r="36" spans="1:9" ht="22" customHeight="1" x14ac:dyDescent="0.2">
      <c r="A36" s="17">
        <v>32</v>
      </c>
      <c r="B36" s="14"/>
      <c r="C36" s="14"/>
      <c r="D36" s="14"/>
      <c r="E36" s="14"/>
      <c r="F36" s="14"/>
      <c r="G36" s="14"/>
      <c r="H36" s="14"/>
      <c r="I36" s="14"/>
    </row>
    <row r="37" spans="1:9" ht="22" customHeight="1" x14ac:dyDescent="0.2">
      <c r="A37" s="17">
        <v>33</v>
      </c>
      <c r="B37" s="14"/>
      <c r="C37" s="14"/>
      <c r="D37" s="14"/>
      <c r="E37" s="14"/>
      <c r="F37" s="14"/>
      <c r="G37" s="14"/>
      <c r="H37" s="14"/>
      <c r="I37" s="14"/>
    </row>
    <row r="38" spans="1:9" ht="22" customHeight="1" x14ac:dyDescent="0.2">
      <c r="A38" s="17">
        <v>34</v>
      </c>
      <c r="B38" s="14"/>
      <c r="C38" s="14"/>
      <c r="D38" s="14"/>
      <c r="E38" s="14"/>
      <c r="F38" s="14"/>
      <c r="G38" s="14"/>
      <c r="H38" s="14"/>
      <c r="I38" s="14"/>
    </row>
    <row r="39" spans="1:9" ht="22" customHeight="1" x14ac:dyDescent="0.2">
      <c r="A39" s="17">
        <v>35</v>
      </c>
      <c r="B39" s="14"/>
      <c r="C39" s="14"/>
      <c r="D39" s="14"/>
      <c r="E39" s="14"/>
      <c r="F39" s="14"/>
      <c r="G39" s="14"/>
      <c r="H39" s="14"/>
      <c r="I39" s="14"/>
    </row>
    <row r="40" spans="1:9" ht="22" customHeight="1" x14ac:dyDescent="0.2">
      <c r="A40" s="17">
        <v>36</v>
      </c>
      <c r="B40" s="14"/>
      <c r="C40" s="14"/>
      <c r="D40" s="14"/>
      <c r="E40" s="14"/>
      <c r="F40" s="14"/>
      <c r="G40" s="14"/>
      <c r="H40" s="14"/>
      <c r="I40" s="14"/>
    </row>
    <row r="43" spans="1:9" x14ac:dyDescent="0.2">
      <c r="B43" s="22" t="s">
        <v>217</v>
      </c>
      <c r="C43" s="19"/>
      <c r="D43" s="19"/>
      <c r="E43" s="19"/>
      <c r="F43" s="19"/>
    </row>
    <row r="44" spans="1:9" x14ac:dyDescent="0.2">
      <c r="B44" s="19"/>
      <c r="C44" s="19"/>
      <c r="D44" s="19"/>
      <c r="E44" s="19"/>
      <c r="F44" s="19"/>
    </row>
    <row r="45" spans="1:9" x14ac:dyDescent="0.2">
      <c r="B45" s="19"/>
      <c r="C45" s="19"/>
      <c r="D45" s="19"/>
      <c r="E45" s="19"/>
      <c r="F45" s="19"/>
    </row>
  </sheetData>
  <mergeCells count="1">
    <mergeCell ref="B43:F45"/>
  </mergeCells>
  <dataValidations count="2">
    <dataValidation type="list" allowBlank="1" sqref="D5:D60" xr:uid="{00000000-0002-0000-0400-000000000000}">
      <formula1>_xlfn._LONGTEXT("Need-blind / covers full financial need for international students,Private university with published international merit scholarships,Public university with published international merit scholarships,Unusually deep funding for international students (Bere","a type),Community college with a published 2+2 transfer degree and F-1 budget")</formula1>
    </dataValidation>
    <dataValidation type="list" allowBlank="1" sqref="I5:I60" xr:uid="{00000000-0002-0000-0400-000001000000}">
      <formula1>"not yet,approved,changes needed"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Instructions</vt:lpstr>
      <vt:lpstr>TEMPLATE - copy me</vt:lpstr>
      <vt:lpstr>EXAMPLE - Princeton</vt:lpstr>
      <vt:lpstr>Fix these first</vt:lpstr>
      <vt:lpstr>Progress tracker</vt:lpstr>
      <vt:lpstr>'EXAMPLE - Princeton'!Print_Titles</vt:lpstr>
      <vt:lpstr>'TEMPLATE - copy me'!Print_Titles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abdujafar.rashidov.2024@gmail.com</cp:lastModifiedBy>
  <dcterms:created xsi:type="dcterms:W3CDTF">2026-07-29T05:41:08Z</dcterms:created>
  <dcterms:modified xsi:type="dcterms:W3CDTF">2026-07-29T06:36:39Z</dcterms:modified>
</cp:coreProperties>
</file>